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E calculator" sheetId="1" state="visible" r:id="rId1"/>
    <sheet xmlns:r="http://schemas.openxmlformats.org/officeDocument/2006/relationships" name="Tracker data (sourc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%"/>
    <numFmt numFmtId="165" formatCode="0.0000%"/>
    <numFmt numFmtId="166" formatCode="0.0%"/>
    <numFmt numFmtId="167" formatCode="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3" fontId="0" fillId="3" borderId="1" pivotButton="0" quotePrefix="0" xfId="0"/>
    <xf numFmtId="10" fontId="0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9" fontId="0" fillId="3" borderId="1" pivotButton="0" quotePrefix="0" xfId="0"/>
    <xf numFmtId="3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0" fontId="0" fillId="3" borderId="0" pivotButton="0" quotePrefix="0" xfId="0"/>
    <xf numFmtId="167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b val="1"/>
        <color rgb="00006300"/>
      </font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O2P async banner - 5% holdout MDE calculator</t>
        </is>
      </c>
    </row>
    <row r="2" ht="44" customHeight="1">
      <c r="A2" s="2" t="inlineStr">
        <is>
          <t>Design: within TG4 (95% Action), shrink the no-banner arm from 47.5% to 4.75% of the cohort. TG7 (5% campaign control) untouched. Yellow cells are editable; everything else recalculates. Baseline and proven lift are formulas fed by the Tracker data sheet (mature cohorts Jun 18 + Jul 7) - type over them only to run what-ifs.</t>
        </is>
      </c>
    </row>
    <row r="4">
      <c r="A4" s="3" t="inlineStr">
        <is>
          <t>INPUTS</t>
        </is>
      </c>
      <c r="B4" s="4" t="n"/>
    </row>
    <row r="5">
      <c r="A5" s="5" t="inlineStr">
        <is>
          <t>Cohort size, both TG4 arms (clients)</t>
        </is>
      </c>
      <c r="B5" s="6" t="n">
        <v>505000</v>
      </c>
    </row>
    <row r="6">
      <c r="A6" s="5" t="inlineStr">
        <is>
          <t>NON_MB holdout share of cohort</t>
        </is>
      </c>
      <c r="B6" s="7" t="n">
        <v>0.0475</v>
      </c>
    </row>
    <row r="7">
      <c r="A7" s="5" t="inlineStr">
        <is>
          <t>Baseline conversion, NON_MB arm (from tracker)</t>
        </is>
      </c>
      <c r="B7" s="8">
        <f>AVERAGE('Tracker data (source)'!E6,'Tracker data (source)'!E8)</f>
        <v/>
      </c>
    </row>
    <row r="8">
      <c r="A8" s="5" t="inlineStr">
        <is>
          <t>Proven lift from 50/50 read (from tracker)</t>
        </is>
      </c>
      <c r="B8" s="8">
        <f>AVERAGE('Tracker data (source)'!F5,'Tracker data (source)'!F7)/100</f>
        <v/>
      </c>
    </row>
    <row r="9">
      <c r="A9" s="5" t="inlineStr">
        <is>
          <t>Alpha (two-sided)</t>
        </is>
      </c>
      <c r="B9" s="9" t="n">
        <v>0.05</v>
      </c>
    </row>
    <row r="10">
      <c r="A10" s="5" t="inlineStr">
        <is>
          <t>Power target</t>
        </is>
      </c>
      <c r="B10" s="10" t="n">
        <v>0.8</v>
      </c>
    </row>
    <row r="11">
      <c r="A11" s="3" t="inlineStr">
        <is>
          <t>DERIVED</t>
        </is>
      </c>
      <c r="B11" s="4" t="n"/>
    </row>
    <row r="12">
      <c r="A12" s="5" t="inlineStr">
        <is>
          <t>NON_MB holdout n</t>
        </is>
      </c>
      <c r="B12" s="11">
        <f>ROUND(B5*B6,0)</f>
        <v/>
      </c>
    </row>
    <row r="13">
      <c r="A13" s="5" t="inlineStr">
        <is>
          <t>MB (banner) n</t>
        </is>
      </c>
      <c r="B13" s="11">
        <f>ROUND(B5*(1-B6),0)</f>
        <v/>
      </c>
    </row>
    <row r="14">
      <c r="A14" s="5" t="inlineStr">
        <is>
          <t>z alpha/2</t>
        </is>
      </c>
      <c r="B14" s="5">
        <f>NORMSINV(1-B9/2)</f>
        <v/>
      </c>
    </row>
    <row r="15">
      <c r="A15" s="5" t="inlineStr">
        <is>
          <t>z power</t>
        </is>
      </c>
      <c r="B15" s="5">
        <f>NORMSINV(B10)</f>
        <v/>
      </c>
    </row>
    <row r="16">
      <c r="A16" s="5" t="inlineStr">
        <is>
          <t>Standard error at baseline</t>
        </is>
      </c>
      <c r="B16" s="12">
        <f>SQRT(B7*(1-B7)*(1/B12+1/B13))</f>
        <v/>
      </c>
    </row>
    <row r="17">
      <c r="A17" s="5" t="inlineStr">
        <is>
          <t>Minimum detectable lift (MDE)</t>
        </is>
      </c>
      <c r="B17" s="13">
        <f>(B14+B15)*B16</f>
        <v/>
      </c>
    </row>
    <row r="18">
      <c r="A18" s="5" t="inlineStr">
        <is>
          <t>MDE relative to baseline</t>
        </is>
      </c>
      <c r="B18" s="14">
        <f>B17/B7</f>
        <v/>
      </c>
    </row>
    <row r="19">
      <c r="A19" s="5" t="inlineStr">
        <is>
          <t>Power to re-detect the proven lift</t>
        </is>
      </c>
      <c r="B19" s="14">
        <f>NORMSDIST(B8/B16-B14)</f>
        <v/>
      </c>
    </row>
    <row r="20">
      <c r="A20" s="5" t="inlineStr">
        <is>
          <t>VERDICT at these inputs</t>
        </is>
      </c>
      <c r="B20" s="5">
        <f>IF(B17&lt;=B8,"PASS - proven lift &gt;= detectable minimum","FAIL - holdout too small to confirm in one cycle")</f>
        <v/>
      </c>
    </row>
    <row r="21">
      <c r="A21" s="3" t="inlineStr">
        <is>
          <t>BUSINESS IMPACT OF THE CHANGE</t>
        </is>
      </c>
      <c r="B21" s="4" t="n"/>
    </row>
    <row r="22">
      <c r="A22" s="5" t="inlineStr">
        <is>
          <t>Clients moved from no-banner to banner</t>
        </is>
      </c>
      <c r="B22" s="11">
        <f>ROUND(B5*(0.475-B6),0)</f>
        <v/>
      </c>
    </row>
    <row r="23">
      <c r="A23" s="5" t="inlineStr">
        <is>
          <t>Extra target responders per cohort (at proven lift)</t>
        </is>
      </c>
      <c r="B23" s="11">
        <f>ROUND(B22*B8,0)</f>
        <v/>
      </c>
    </row>
    <row r="26">
      <c r="A26" s="15" t="inlineStr">
        <is>
          <t>SCENARIOS - type any holdout share in the yellow cells; MDE and verdicts recalculate</t>
        </is>
      </c>
    </row>
    <row r="27" ht="30" customHeight="1">
      <c r="A27" s="16" t="inlineStr">
        <is>
          <t>Holdout share (editable)</t>
        </is>
      </c>
      <c r="B27" s="16" t="inlineStr">
        <is>
          <t>MDE, 1 cohort (pp)</t>
        </is>
      </c>
      <c r="C27" s="16" t="inlineStr">
        <is>
          <t>MDE, 2 cohorts (pp)</t>
        </is>
      </c>
      <c r="D27" s="16" t="inlineStr">
        <is>
          <t>MDE, 3 cohorts (pp)</t>
        </is>
      </c>
      <c r="E27" s="16" t="inlineStr">
        <is>
          <t>Verdict 1 cohort</t>
        </is>
      </c>
      <c r="F27" s="16" t="inlineStr">
        <is>
          <t>Verdict 2 cohorts</t>
        </is>
      </c>
      <c r="G27" s="16" t="inlineStr">
        <is>
          <t>Verdict 3 cohorts</t>
        </is>
      </c>
    </row>
    <row r="28">
      <c r="A28" s="17" t="n">
        <v>0.025</v>
      </c>
      <c r="B28" s="18">
        <f>($B$14+$B$15)*SQRT($B$7*(1-$B$7)*(1/(1*$B$5*$A28)+1/(1*$B$5*(1-$A28))))*100</f>
        <v/>
      </c>
      <c r="C28" s="18">
        <f>($B$14+$B$15)*SQRT($B$7*(1-$B$7)*(1/(2*$B$5*$A28)+1/(2*$B$5*(1-$A28))))*100</f>
        <v/>
      </c>
      <c r="D28" s="18">
        <f>($B$14+$B$15)*SQRT($B$7*(1-$B$7)*(1/(3*$B$5*$A28)+1/(3*$B$5*(1-$A28))))*100</f>
        <v/>
      </c>
      <c r="E28">
        <f>IF(B28&lt;=$B$8*100,"PASS","FAIL")</f>
        <v/>
      </c>
      <c r="F28">
        <f>IF(C28&lt;=$B$8*100,"PASS","FAIL")</f>
        <v/>
      </c>
      <c r="G28">
        <f>IF(D28&lt;=$B$8*100,"PASS","FAIL")</f>
        <v/>
      </c>
    </row>
    <row r="29">
      <c r="A29" s="17" t="n">
        <v>0.0475</v>
      </c>
      <c r="B29" s="18">
        <f>($B$14+$B$15)*SQRT($B$7*(1-$B$7)*(1/(1*$B$5*$A29)+1/(1*$B$5*(1-$A29))))*100</f>
        <v/>
      </c>
      <c r="C29" s="18">
        <f>($B$14+$B$15)*SQRT($B$7*(1-$B$7)*(1/(2*$B$5*$A29)+1/(2*$B$5*(1-$A29))))*100</f>
        <v/>
      </c>
      <c r="D29" s="18">
        <f>($B$14+$B$15)*SQRT($B$7*(1-$B$7)*(1/(3*$B$5*$A29)+1/(3*$B$5*(1-$A29))))*100</f>
        <v/>
      </c>
      <c r="E29">
        <f>IF(B29&lt;=$B$8*100,"PASS","FAIL")</f>
        <v/>
      </c>
      <c r="F29">
        <f>IF(C29&lt;=$B$8*100,"PASS","FAIL")</f>
        <v/>
      </c>
      <c r="G29">
        <f>IF(D29&lt;=$B$8*100,"PASS","FAIL")</f>
        <v/>
      </c>
    </row>
    <row r="30">
      <c r="A30" s="17" t="n">
        <v>0.1</v>
      </c>
      <c r="B30" s="18">
        <f>($B$14+$B$15)*SQRT($B$7*(1-$B$7)*(1/(1*$B$5*$A30)+1/(1*$B$5*(1-$A30))))*100</f>
        <v/>
      </c>
      <c r="C30" s="18">
        <f>($B$14+$B$15)*SQRT($B$7*(1-$B$7)*(1/(2*$B$5*$A30)+1/(2*$B$5*(1-$A30))))*100</f>
        <v/>
      </c>
      <c r="D30" s="18">
        <f>($B$14+$B$15)*SQRT($B$7*(1-$B$7)*(1/(3*$B$5*$A30)+1/(3*$B$5*(1-$A30))))*100</f>
        <v/>
      </c>
      <c r="E30">
        <f>IF(B30&lt;=$B$8*100,"PASS","FAIL")</f>
        <v/>
      </c>
      <c r="F30">
        <f>IF(C30&lt;=$B$8*100,"PASS","FAIL")</f>
        <v/>
      </c>
      <c r="G30">
        <f>IF(D30&lt;=$B$8*100,"PASS","FAIL")</f>
        <v/>
      </c>
    </row>
    <row r="31">
      <c r="A31" s="17" t="n">
        <v>0.2</v>
      </c>
      <c r="B31" s="18">
        <f>($B$14+$B$15)*SQRT($B$7*(1-$B$7)*(1/(1*$B$5*$A31)+1/(1*$B$5*(1-$A31))))*100</f>
        <v/>
      </c>
      <c r="C31" s="18">
        <f>($B$14+$B$15)*SQRT($B$7*(1-$B$7)*(1/(2*$B$5*$A31)+1/(2*$B$5*(1-$A31))))*100</f>
        <v/>
      </c>
      <c r="D31" s="18">
        <f>($B$14+$B$15)*SQRT($B$7*(1-$B$7)*(1/(3*$B$5*$A31)+1/(3*$B$5*(1-$A31))))*100</f>
        <v/>
      </c>
      <c r="E31">
        <f>IF(B31&lt;=$B$8*100,"PASS","FAIL")</f>
        <v/>
      </c>
      <c r="F31">
        <f>IF(C31&lt;=$B$8*100,"PASS","FAIL")</f>
        <v/>
      </c>
      <c r="G31">
        <f>IF(D31&lt;=$B$8*100,"PASS","FAIL")</f>
        <v/>
      </c>
    </row>
    <row r="32">
      <c r="A32" s="17" t="n">
        <v>0.475</v>
      </c>
      <c r="B32" s="18">
        <f>($B$14+$B$15)*SQRT($B$7*(1-$B$7)*(1/(1*$B$5*$A32)+1/(1*$B$5*(1-$A32))))*100</f>
        <v/>
      </c>
      <c r="C32" s="18">
        <f>($B$14+$B$15)*SQRT($B$7*(1-$B$7)*(1/(2*$B$5*$A32)+1/(2*$B$5*(1-$A32))))*100</f>
        <v/>
      </c>
      <c r="D32" s="18">
        <f>($B$14+$B$15)*SQRT($B$7*(1-$B$7)*(1/(3*$B$5*$A32)+1/(3*$B$5*(1-$A32))))*100</f>
        <v/>
      </c>
      <c r="E32">
        <f>IF(B32&lt;=$B$8*100,"PASS","FAIL")</f>
        <v/>
      </c>
      <c r="F32">
        <f>IF(C32&lt;=$B$8*100,"PASS","FAIL")</f>
        <v/>
      </c>
      <c r="G32">
        <f>IF(D32&lt;=$B$8*100,"PASS","FAIL")</f>
        <v/>
      </c>
    </row>
    <row r="34">
      <c r="A34" s="2" t="inlineStr">
        <is>
          <t>PASS = detectable minimum &lt;= the proven lift (B8, from tracker), i.e. that holdout still confirms the known effect in that window. pp = percentage points.</t>
        </is>
      </c>
    </row>
  </sheetData>
  <conditionalFormatting sqref="E28:G32">
    <cfRule type="expression" priority="1" dxfId="0">
      <formula>ISNUMBER(SEARCH("PASS",E28))</formula>
    </cfRule>
    <cfRule type="expression" priority="2" dxfId="1">
      <formula>ISNUMBER(SEARCH("FAIL",E28))</formula>
    </cfRule>
  </conditionalFormatting>
  <conditionalFormatting sqref="B20">
    <cfRule type="expression" priority="3" dxfId="0">
      <formula>ISNUMBER(SEARCH("PASS",B20))</formula>
    </cfRule>
    <cfRule type="expression" priority="4" dxfId="1">
      <formula>ISNUMBER(SEARCH("FAIL",B20))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5" t="inlineStr">
        <is>
          <t>Async_tracker_Aug pivot, transcribed 2026-09-04. Feeds the calculator's baseline and lift.</t>
        </is>
      </c>
    </row>
    <row r="2" ht="40" customHeight="1">
      <c r="A2" s="2" t="inlineStr">
        <is>
          <t>Source workbook tags the arms champion/challenger INVERTED - ignore those words. MB = banner served, NON_MB = no banner. TG7 not in this pivot. Mature cohorts (Jun 18, Jul 7) feed the calculator; Aug 11 still accruing and excluded.</t>
        </is>
      </c>
    </row>
    <row r="4">
      <c r="A4" s="15" t="inlineStr">
        <is>
          <t>cohort</t>
        </is>
      </c>
      <c r="B4" s="15" t="inlineStr">
        <is>
          <t>arm</t>
        </is>
      </c>
      <c r="C4" s="15" t="inlineStr">
        <is>
          <t>total_population</t>
        </is>
      </c>
      <c r="D4" s="15" t="inlineStr">
        <is>
          <t>responders_target_cum</t>
        </is>
      </c>
      <c r="E4" s="15" t="inlineStr">
        <is>
          <t>conversion</t>
        </is>
      </c>
      <c r="F4" s="15" t="inlineStr">
        <is>
          <t>lift vs NON_MB (pp)</t>
        </is>
      </c>
    </row>
    <row r="5">
      <c r="A5" t="inlineStr">
        <is>
          <t>6/18/2026</t>
        </is>
      </c>
      <c r="B5" t="inlineStr">
        <is>
          <t>MB</t>
        </is>
      </c>
      <c r="C5" s="19" t="n">
        <v>271731</v>
      </c>
      <c r="D5" s="19" t="n">
        <v>2269</v>
      </c>
      <c r="E5" s="20">
        <f>D5/C5</f>
        <v/>
      </c>
      <c r="F5" s="18">
        <f>(D5/C5-D6/C6)*100</f>
        <v/>
      </c>
    </row>
    <row r="6">
      <c r="A6" t="inlineStr">
        <is>
          <t>6/18/2026</t>
        </is>
      </c>
      <c r="B6" t="inlineStr">
        <is>
          <t>NON_MB</t>
        </is>
      </c>
      <c r="C6" s="19" t="n">
        <v>271737</v>
      </c>
      <c r="D6" s="19" t="n">
        <v>1720</v>
      </c>
      <c r="E6" s="20">
        <f>D6/C6</f>
        <v/>
      </c>
    </row>
    <row r="7">
      <c r="A7" t="inlineStr">
        <is>
          <t>7/7/2026</t>
        </is>
      </c>
      <c r="B7" t="inlineStr">
        <is>
          <t>MB</t>
        </is>
      </c>
      <c r="C7" s="19" t="n">
        <v>234863</v>
      </c>
      <c r="D7" s="19" t="n">
        <v>1918</v>
      </c>
      <c r="E7" s="20">
        <f>D7/C7</f>
        <v/>
      </c>
      <c r="F7" s="18">
        <f>(D7/C7-D8/C8)*100</f>
        <v/>
      </c>
    </row>
    <row r="8">
      <c r="A8" t="inlineStr">
        <is>
          <t>7/7/2026</t>
        </is>
      </c>
      <c r="B8" t="inlineStr">
        <is>
          <t>NON_MB</t>
        </is>
      </c>
      <c r="C8" s="19" t="n">
        <v>234866</v>
      </c>
      <c r="D8" s="19" t="n">
        <v>1464</v>
      </c>
      <c r="E8" s="20">
        <f>D8/C8</f>
        <v/>
      </c>
    </row>
    <row r="9">
      <c r="A9" t="inlineStr">
        <is>
          <t>8/11/2026 (immature)</t>
        </is>
      </c>
      <c r="B9" t="inlineStr">
        <is>
          <t>MB</t>
        </is>
      </c>
      <c r="C9" s="19" t="n">
        <v>253657</v>
      </c>
      <c r="D9" s="19" t="n">
        <v>1232</v>
      </c>
      <c r="E9" s="20">
        <f>D9/C9</f>
        <v/>
      </c>
      <c r="F9" s="18">
        <f>(D9/C9-D10/C10)*100</f>
        <v/>
      </c>
    </row>
    <row r="10">
      <c r="A10" t="inlineStr">
        <is>
          <t>8/11/2026 (immature)</t>
        </is>
      </c>
      <c r="B10" t="inlineStr">
        <is>
          <t>NON_MB</t>
        </is>
      </c>
      <c r="C10" s="19" t="n">
        <v>253661</v>
      </c>
      <c r="D10" s="19" t="n">
        <v>856</v>
      </c>
      <c r="E10" s="20">
        <f>D10/C10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2026-09-04T16:35:01Z</dcterms:created>
  <dcterms:modified xmlns:dcterms="http://purl.org/dc/terms/" xmlns:xsi="http://www.w3.org/2001/XMLSchema-instance" xsi:type="dcterms:W3CDTF">2026-09-04T16:35:01Z</dcterms:modified>
</cp:coreProperties>
</file>