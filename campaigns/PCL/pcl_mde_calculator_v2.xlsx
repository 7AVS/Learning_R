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ndre\New_projects\cards\campaigns\PCL\"/>
    </mc:Choice>
  </mc:AlternateContent>
  <xr:revisionPtr revIDLastSave="0" documentId="13_ncr:1_{29F84074-F330-4820-A4CC-364ED7637FC7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Calculate Minimum L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G41" i="1" s="1"/>
  <c r="C14" i="1"/>
  <c r="D41" i="1"/>
  <c r="D40" i="1"/>
  <c r="D39" i="1"/>
  <c r="I28" i="1"/>
  <c r="H28" i="1"/>
  <c r="D28" i="1"/>
  <c r="F28" i="1" s="1"/>
  <c r="I27" i="1"/>
  <c r="H27" i="1"/>
  <c r="I26" i="1"/>
  <c r="H26" i="1"/>
  <c r="E26" i="1"/>
  <c r="F26" i="1" s="1"/>
  <c r="D26" i="1"/>
  <c r="G26" i="1" s="1"/>
  <c r="C22" i="1"/>
  <c r="C21" i="1"/>
  <c r="E28" i="1" s="1"/>
  <c r="C20" i="1"/>
  <c r="C19" i="1"/>
  <c r="D27" i="1" s="1"/>
  <c r="C18" i="1"/>
  <c r="G39" i="1" l="1"/>
  <c r="F40" i="1"/>
  <c r="F39" i="1"/>
  <c r="G28" i="1"/>
  <c r="E40" i="1"/>
  <c r="H40" i="1" s="1"/>
  <c r="I40" i="1" s="1"/>
  <c r="E27" i="1"/>
  <c r="G27" i="1" s="1"/>
  <c r="J28" i="1"/>
  <c r="G40" i="1"/>
  <c r="F41" i="1"/>
  <c r="J27" i="1"/>
  <c r="E39" i="1"/>
  <c r="E41" i="1"/>
  <c r="H41" i="1" s="1"/>
  <c r="I41" i="1" s="1"/>
  <c r="J26" i="1"/>
  <c r="H39" i="1" l="1"/>
  <c r="I39" i="1" s="1"/>
  <c r="K27" i="1"/>
  <c r="L27" i="1"/>
  <c r="L28" i="1"/>
  <c r="K28" i="1"/>
  <c r="F27" i="1"/>
  <c r="K26" i="1"/>
  <c r="L26" i="1"/>
</calcChain>
</file>

<file path=xl/sharedStrings.xml><?xml version="1.0" encoding="utf-8"?>
<sst xmlns="http://schemas.openxmlformats.org/spreadsheetml/2006/main" count="62" uniqueCount="59">
  <si>
    <t>Statistical Inputs</t>
  </si>
  <si>
    <t>Total sample size</t>
  </si>
  <si>
    <t>Champion allocation</t>
  </si>
  <si>
    <t>Challenger A (Sales Model) allocation</t>
  </si>
  <si>
    <t>Challenger B (Mobile Dashboard) allocation</t>
  </si>
  <si>
    <t>Significance level (alpha)</t>
  </si>
  <si>
    <t>Power level</t>
  </si>
  <si>
    <t>Target relative lift</t>
  </si>
  <si>
    <t>The lift we want to detect (5% = 5% of baseline)</t>
  </si>
  <si>
    <t>Baseline RR (mobile, population-level)</t>
  </si>
  <si>
    <t>3-month avg mobile RR</t>
  </si>
  <si>
    <t>Do Not Edit — Statistical Constants</t>
  </si>
  <si>
    <t>Critical Value for Significance (Za)</t>
  </si>
  <si>
    <t>Critical Value for Power (Zb)</t>
  </si>
  <si>
    <t>Derived Values</t>
  </si>
  <si>
    <t>Target absolute lift (pp)</t>
  </si>
  <si>
    <t>Converts relative lift to absolute pp</t>
  </si>
  <si>
    <t>Champion n</t>
  </si>
  <si>
    <t>Challenger A (Sales Model) n</t>
  </si>
  <si>
    <t>Challenger B (Mobile Dashboard) n</t>
  </si>
  <si>
    <t>Allocation check</t>
  </si>
  <si>
    <t>Should show 100%</t>
  </si>
  <si>
    <t>Comparison Tests</t>
  </si>
  <si>
    <t>#</t>
  </si>
  <si>
    <t>Comparison</t>
  </si>
  <si>
    <t>What it tests</t>
  </si>
  <si>
    <t>n1</t>
  </si>
  <si>
    <t>n2</t>
  </si>
  <si>
    <t>Sum</t>
  </si>
  <si>
    <t>Ratio</t>
  </si>
  <si>
    <t>Baseline RR</t>
  </si>
  <si>
    <t>Target Lift (abs)</t>
  </si>
  <si>
    <t>MDE</t>
  </si>
  <si>
    <t>Powered?</t>
  </si>
  <si>
    <t>Interpretation</t>
  </si>
  <si>
    <t>Champion vs Challenger A (Sales Model)</t>
  </si>
  <si>
    <t>Does adding Sales Model lift response by ≥5%?</t>
  </si>
  <si>
    <t>Champion vs Challenger B (Dashboard)</t>
  </si>
  <si>
    <t>Does adding Dashboard lift response by ≥5%?</t>
  </si>
  <si>
    <t>Challenger A vs Challenger B</t>
  </si>
  <si>
    <t>Which addition performs better?</t>
  </si>
  <si>
    <t>With 3 comparisons, Bonferroni-adjusted alpha = 5%/3 = 1.67% per comparison.</t>
  </si>
  <si>
    <t>The MDE is the minimum lift (in percentage points) detectable with 80% power at the specified significance level.</t>
  </si>
  <si>
    <t>Stress Test Scenarios</t>
  </si>
  <si>
    <t>Scenario</t>
  </si>
  <si>
    <t>Comp 1 MDE</t>
  </si>
  <si>
    <t>Comp 2 MDE</t>
  </si>
  <si>
    <t>Comp 3 MDE</t>
  </si>
  <si>
    <t>Worst Case</t>
  </si>
  <si>
    <t>Pessimistic (Jan 2026 mobile: 55,560/528,002)</t>
  </si>
  <si>
    <t>Current (3-month avg mobile)</t>
  </si>
  <si>
    <t>Optimistic (Nov 2025 mobile: 99,704/648,547)</t>
  </si>
  <si>
    <t>Notes</t>
  </si>
  <si>
    <t>1. Champion = all existing channels. Challengers = champion + additional placement.</t>
  </si>
  <si>
    <t>2. Target lift is RELATIVE (5% = 5% of baseline RR). Absolute target depends on baseline.</t>
  </si>
  <si>
    <t>3. Baseline RR = mobile population-level rate (mobile responders / total population).</t>
  </si>
  <si>
    <t>4. PCL mnemonic confirmed by Daniel Chin (campaign called PLI internally).</t>
  </si>
  <si>
    <t>5. Green cells are editable — change them to recalculate everything.</t>
  </si>
  <si>
    <t>6. Pre-register comparisons 1 &amp; 2 as primary; comparison 3 as exploratory.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</si>
</sst>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i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3" fontId="0" fillId="3" borderId="0" xfId="0" applyNumberFormat="1" applyFill="1"/>
    <xf numFmtId="10" fontId="0" fillId="3" borderId="0" xfId="0" applyNumberFormat="1" applyFill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wrapText="1"/>
    </xf>
    <xf numFmtId="10" fontId="0" fillId="3" borderId="1" xfId="0" applyNumberFormat="1" applyFill="1" applyBorder="1"/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0"/>
  <sheetViews>
    <sheetView tabSelected="1" topLeftCell="A23" zoomScale="90" workbookViewId="0">
      <selection activeCell="K26" sqref="K26"/>
    </sheetView>
  </sheetViews>
  <sheetFormatPr defaultRowHeight="14.5" x14ac:dyDescent="0.35"/>
  <cols>
    <col min="1" max="1" width="5" customWidth="1"/>
    <col min="2" max="2" width="50" customWidth="1"/>
    <col min="3" max="3" width="20" customWidth="1"/>
    <col min="4" max="8" width="16" customWidth="1"/>
    <col min="9" max="9" width="18" customWidth="1"/>
    <col min="10" max="11" width="16" customWidth="1"/>
    <col min="12" max="12" width="50" customWidth="1"/>
  </cols>
  <sheetData>
    <row r="2" spans="1:12" x14ac:dyDescent="0.3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B3" s="3" t="s">
        <v>1</v>
      </c>
      <c r="C3" s="4">
        <v>528000</v>
      </c>
    </row>
    <row r="4" spans="1:12" x14ac:dyDescent="0.35">
      <c r="B4" s="3" t="s">
        <v>2</v>
      </c>
      <c r="C4" s="5">
        <v>0.3</v>
      </c>
    </row>
    <row r="5" spans="1:12" x14ac:dyDescent="0.35">
      <c r="B5" s="3" t="s">
        <v>3</v>
      </c>
      <c r="C5" s="5">
        <v>0.3</v>
      </c>
    </row>
    <row r="6" spans="1:12" x14ac:dyDescent="0.35">
      <c r="B6" s="3" t="s">
        <v>4</v>
      </c>
      <c r="C6" s="5">
        <v>0.4</v>
      </c>
    </row>
    <row r="7" spans="1:12" x14ac:dyDescent="0.35">
      <c r="B7" s="3" t="s">
        <v>5</v>
      </c>
      <c r="C7" s="5">
        <v>0.05</v>
      </c>
    </row>
    <row r="8" spans="1:12" x14ac:dyDescent="0.35">
      <c r="B8" s="3" t="s">
        <v>6</v>
      </c>
      <c r="C8" s="5">
        <v>0.8</v>
      </c>
    </row>
    <row r="9" spans="1:12" x14ac:dyDescent="0.35">
      <c r="B9" s="3" t="s">
        <v>7</v>
      </c>
      <c r="C9" s="5">
        <v>0.05</v>
      </c>
      <c r="D9" s="6" t="s">
        <v>8</v>
      </c>
    </row>
    <row r="10" spans="1:12" x14ac:dyDescent="0.35">
      <c r="B10" s="3" t="s">
        <v>9</v>
      </c>
      <c r="C10" s="5">
        <v>0.13</v>
      </c>
      <c r="D10" s="6" t="s">
        <v>10</v>
      </c>
    </row>
    <row r="12" spans="1:12" x14ac:dyDescent="0.35">
      <c r="A12" s="1"/>
      <c r="B12" s="2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4" spans="1:12" x14ac:dyDescent="0.35">
      <c r="B14" s="3" t="s">
        <v>12</v>
      </c>
      <c r="C14" s="7">
        <f>NORMINV(1-C7,0,1)</f>
        <v>1.6448536269514715</v>
      </c>
    </row>
    <row r="15" spans="1:12" x14ac:dyDescent="0.35">
      <c r="B15" s="3" t="s">
        <v>13</v>
      </c>
      <c r="C15" s="7">
        <f>NORMINV(C8,0,1)</f>
        <v>0.84162123357291474</v>
      </c>
    </row>
    <row r="17" spans="1:12" x14ac:dyDescent="0.35">
      <c r="A17" s="1"/>
      <c r="B17" s="2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B18" s="3" t="s">
        <v>15</v>
      </c>
      <c r="C18" s="8">
        <f>C10*C9</f>
        <v>6.5000000000000006E-3</v>
      </c>
      <c r="D18" s="6" t="s">
        <v>16</v>
      </c>
    </row>
    <row r="19" spans="1:12" x14ac:dyDescent="0.35">
      <c r="B19" s="3" t="s">
        <v>17</v>
      </c>
      <c r="C19" s="9">
        <f>C3*C4</f>
        <v>158400</v>
      </c>
    </row>
    <row r="20" spans="1:12" x14ac:dyDescent="0.35">
      <c r="B20" s="3" t="s">
        <v>18</v>
      </c>
      <c r="C20" s="9">
        <f>C3*C5</f>
        <v>158400</v>
      </c>
    </row>
    <row r="21" spans="1:12" x14ac:dyDescent="0.35">
      <c r="B21" s="3" t="s">
        <v>19</v>
      </c>
      <c r="C21" s="9">
        <f>C3*C6</f>
        <v>211200</v>
      </c>
    </row>
    <row r="22" spans="1:12" x14ac:dyDescent="0.35">
      <c r="B22" s="3" t="s">
        <v>20</v>
      </c>
      <c r="C22" s="8">
        <f>C4+C5+C6</f>
        <v>1</v>
      </c>
      <c r="D22" s="6" t="s">
        <v>21</v>
      </c>
    </row>
    <row r="24" spans="1:12" x14ac:dyDescent="0.35">
      <c r="A24" s="1"/>
      <c r="B24" s="2" t="s">
        <v>22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0" t="s">
        <v>23</v>
      </c>
      <c r="B25" s="10" t="s">
        <v>24</v>
      </c>
      <c r="C25" s="10" t="s">
        <v>25</v>
      </c>
      <c r="D25" s="10" t="s">
        <v>26</v>
      </c>
      <c r="E25" s="10" t="s">
        <v>27</v>
      </c>
      <c r="F25" s="10" t="s">
        <v>28</v>
      </c>
      <c r="G25" s="10" t="s">
        <v>29</v>
      </c>
      <c r="H25" s="10" t="s">
        <v>30</v>
      </c>
      <c r="I25" s="10" t="s">
        <v>31</v>
      </c>
      <c r="J25" s="10" t="s">
        <v>32</v>
      </c>
      <c r="K25" s="10" t="s">
        <v>33</v>
      </c>
      <c r="L25" s="10" t="s">
        <v>34</v>
      </c>
    </row>
    <row r="26" spans="1:12" x14ac:dyDescent="0.35">
      <c r="A26" s="11">
        <v>1</v>
      </c>
      <c r="B26" s="11" t="s">
        <v>35</v>
      </c>
      <c r="C26" s="11" t="s">
        <v>36</v>
      </c>
      <c r="D26" s="12">
        <f>C19</f>
        <v>158400</v>
      </c>
      <c r="E26" s="12">
        <f>C20</f>
        <v>158400</v>
      </c>
      <c r="F26" s="12">
        <f>D26+E26</f>
        <v>316800</v>
      </c>
      <c r="G26" s="13">
        <f>D26/E26</f>
        <v>1</v>
      </c>
      <c r="H26" s="14">
        <f>$C$10</f>
        <v>0.13</v>
      </c>
      <c r="I26" s="14">
        <f>$C$18</f>
        <v>6.5000000000000006E-3</v>
      </c>
      <c r="J26" s="15">
        <f>ROUND(($C$14+$C$15)*SQRT(H26*(1-H26)*(1/D26+1/E26)),4)</f>
        <v>3.0000000000000001E-3</v>
      </c>
      <c r="K26" s="16" t="str">
        <f>IF(J26&lt;=I26,"YES - MDE &lt;= Target","NO - need more n or lower target")</f>
        <v>YES - MDE &lt;= Target</v>
      </c>
      <c r="L26" s="16" t="str">
        <f>"Can detect differences &gt;= "&amp;TEXT(J26,"0.00%")&amp;" pp"</f>
        <v>Can detect differences &gt;= 0.30% pp</v>
      </c>
    </row>
    <row r="27" spans="1:12" x14ac:dyDescent="0.35">
      <c r="A27" s="11">
        <v>2</v>
      </c>
      <c r="B27" s="11" t="s">
        <v>37</v>
      </c>
      <c r="C27" s="11" t="s">
        <v>38</v>
      </c>
      <c r="D27" s="12">
        <f>C19</f>
        <v>158400</v>
      </c>
      <c r="E27" s="12">
        <f>C21</f>
        <v>211200</v>
      </c>
      <c r="F27" s="12">
        <f>D27+E27</f>
        <v>369600</v>
      </c>
      <c r="G27" s="13">
        <f>D27/E27</f>
        <v>0.75</v>
      </c>
      <c r="H27" s="14">
        <f>$C$10</f>
        <v>0.13</v>
      </c>
      <c r="I27" s="14">
        <f>$C$18</f>
        <v>6.5000000000000006E-3</v>
      </c>
      <c r="J27" s="15">
        <f>ROUND(($C$14+$C$15)*SQRT(H27*(1-H27)*(1/D27+1/E27)),4)</f>
        <v>2.8E-3</v>
      </c>
      <c r="K27" s="16" t="str">
        <f>IF(J27&lt;=I27,"YES - MDE &lt;= Target","NO - need more n or lower target")</f>
        <v>YES - MDE &lt;= Target</v>
      </c>
      <c r="L27" s="16" t="str">
        <f>"Can detect differences &gt;= "&amp;TEXT(J27,"0.00%")&amp;" pp"</f>
        <v>Can detect differences &gt;= 0.28% pp</v>
      </c>
    </row>
    <row r="28" spans="1:12" x14ac:dyDescent="0.35">
      <c r="A28" s="11">
        <v>3</v>
      </c>
      <c r="B28" s="11" t="s">
        <v>39</v>
      </c>
      <c r="C28" s="11" t="s">
        <v>40</v>
      </c>
      <c r="D28" s="12">
        <f>C20</f>
        <v>158400</v>
      </c>
      <c r="E28" s="12">
        <f>C21</f>
        <v>211200</v>
      </c>
      <c r="F28" s="12">
        <f>D28+E28</f>
        <v>369600</v>
      </c>
      <c r="G28" s="13">
        <f>D28/E28</f>
        <v>0.75</v>
      </c>
      <c r="H28" s="14">
        <f>$C$10</f>
        <v>0.13</v>
      </c>
      <c r="I28" s="14">
        <f>$C$18</f>
        <v>6.5000000000000006E-3</v>
      </c>
      <c r="J28" s="15">
        <f>ROUND(($C$14+$C$15)*SQRT(H28*(1-H28)*(1/D28+1/E28)),4)</f>
        <v>2.8E-3</v>
      </c>
      <c r="K28" s="16" t="str">
        <f>IF(J28&lt;=I28,"YES - MDE &lt;= Target","NO - need more n or lower target")</f>
        <v>YES - MDE &lt;= Target</v>
      </c>
      <c r="L28" s="16" t="str">
        <f>"Can detect differences &gt;= "&amp;TEXT(J28,"0.00%")&amp;" pp"</f>
        <v>Can detect differences &gt;= 0.28% pp</v>
      </c>
    </row>
    <row r="34" spans="1:12" ht="35" customHeight="1" x14ac:dyDescent="0.35">
      <c r="B34" s="20" t="s">
        <v>41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ht="35" customHeight="1" x14ac:dyDescent="0.35">
      <c r="B35" s="18" t="s">
        <v>42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7" spans="1:12" x14ac:dyDescent="0.35">
      <c r="A37" s="1"/>
      <c r="B37" s="2" t="s">
        <v>43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0"/>
      <c r="B38" s="10" t="s">
        <v>44</v>
      </c>
      <c r="C38" s="10" t="s">
        <v>30</v>
      </c>
      <c r="D38" s="10" t="s">
        <v>31</v>
      </c>
      <c r="E38" s="10" t="s">
        <v>45</v>
      </c>
      <c r="F38" s="10" t="s">
        <v>46</v>
      </c>
      <c r="G38" s="10" t="s">
        <v>47</v>
      </c>
      <c r="H38" s="10" t="s">
        <v>48</v>
      </c>
      <c r="I38" s="10" t="s">
        <v>33</v>
      </c>
    </row>
    <row r="39" spans="1:12" x14ac:dyDescent="0.35">
      <c r="B39" s="11" t="s">
        <v>49</v>
      </c>
      <c r="C39" s="17">
        <v>0.105</v>
      </c>
      <c r="D39" s="14">
        <f>C39*$C$9</f>
        <v>5.2500000000000003E-3</v>
      </c>
      <c r="E39" s="15">
        <f>ROUND(($C$14+$C$15)*SQRT(C39*(1-C39)*(1/C19+1/C20)),4)</f>
        <v>2.7000000000000001E-3</v>
      </c>
      <c r="F39" s="15">
        <f>ROUND(($C$14+$C$15)*SQRT(C39*(1-C39)*(1/C19+1/C21)),4)</f>
        <v>2.5000000000000001E-3</v>
      </c>
      <c r="G39" s="15">
        <f>ROUND(($C$14+$C$15)*SQRT(C39*(1-C39)*(1/C20+1/C21)),4)</f>
        <v>2.5000000000000001E-3</v>
      </c>
      <c r="H39" s="15">
        <f>MAX(E39:G39)</f>
        <v>2.7000000000000001E-3</v>
      </c>
      <c r="I39" s="11" t="str">
        <f>IF(H39&lt;=D39,"YES","NO")</f>
        <v>YES</v>
      </c>
    </row>
    <row r="40" spans="1:12" x14ac:dyDescent="0.35">
      <c r="B40" s="11" t="s">
        <v>50</v>
      </c>
      <c r="C40" s="17">
        <v>0.13</v>
      </c>
      <c r="D40" s="14">
        <f>C40*$C$9</f>
        <v>6.5000000000000006E-3</v>
      </c>
      <c r="E40" s="15">
        <f>ROUND(($C$14+$C$15)*SQRT(C40*(1-C40)*(1/C19+1/C20)),4)</f>
        <v>3.0000000000000001E-3</v>
      </c>
      <c r="F40" s="15">
        <f>ROUND(($C$14+$C$15)*SQRT(C40*(1-C40)*(1/C19+1/C21)),4)</f>
        <v>2.8E-3</v>
      </c>
      <c r="G40" s="15">
        <f>ROUND(($C$14+$C$15)*SQRT(C40*(1-C40)*(1/C20+1/C21)),4)</f>
        <v>2.8E-3</v>
      </c>
      <c r="H40" s="15">
        <f>MAX(E40:G40)</f>
        <v>3.0000000000000001E-3</v>
      </c>
      <c r="I40" s="11" t="str">
        <f>IF(H40&lt;=D40,"YES","NO")</f>
        <v>YES</v>
      </c>
    </row>
    <row r="41" spans="1:12" x14ac:dyDescent="0.35">
      <c r="B41" s="11" t="s">
        <v>51</v>
      </c>
      <c r="C41" s="17">
        <v>0.154</v>
      </c>
      <c r="D41" s="14">
        <f>C41*$C$9</f>
        <v>7.7000000000000002E-3</v>
      </c>
      <c r="E41" s="15">
        <f>ROUND(($C$14+$C$15)*SQRT(C41*(1-C41)*(1/C19+1/C20)),4)</f>
        <v>3.2000000000000002E-3</v>
      </c>
      <c r="F41" s="15">
        <f>ROUND(($C$14+$C$15)*SQRT(C41*(1-C41)*(1/C19+1/C21)),4)</f>
        <v>3.0000000000000001E-3</v>
      </c>
      <c r="G41" s="15">
        <f>ROUND(($C$14+$C$15)*SQRT(C41*(1-C41)*(1/C20+1/C21)),4)</f>
        <v>3.0000000000000001E-3</v>
      </c>
      <c r="H41" s="15">
        <f>MAX(E41:G41)</f>
        <v>3.2000000000000002E-3</v>
      </c>
      <c r="I41" s="11" t="str">
        <f>IF(H41&lt;=D41,"YES","NO")</f>
        <v>YES</v>
      </c>
    </row>
    <row r="44" spans="1:12" x14ac:dyDescent="0.35">
      <c r="A44" s="1"/>
      <c r="B44" s="2" t="s">
        <v>52</v>
      </c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B45" t="s">
        <v>53</v>
      </c>
    </row>
    <row r="46" spans="1:12" x14ac:dyDescent="0.35">
      <c r="B46" t="s">
        <v>54</v>
      </c>
    </row>
    <row r="47" spans="1:12" x14ac:dyDescent="0.35">
      <c r="B47" t="s">
        <v>55</v>
      </c>
    </row>
    <row r="48" spans="1:12" x14ac:dyDescent="0.35">
      <c r="B48" t="s">
        <v>56</v>
      </c>
    </row>
    <row r="49" spans="2:2" x14ac:dyDescent="0.35">
      <c r="B49" t="s">
        <v>57</v>
      </c>
    </row>
    <row r="50" spans="2:2" x14ac:dyDescent="0.35">
      <c r="B50" t="s">
        <v>58</v>
      </c>
    </row>
  </sheetData>
  <mergeCells count="2">
    <mergeCell ref="B35:L35"/>
    <mergeCell ref="B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Calculate Minimum Lift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AVS</cp:lastModifiedBy>
  <dcterms:created xsi:type="dcterms:W3CDTF">2026-03-19T23:14:54Z</dcterms:created>
  <dcterms:modified xsi:type="dcterms:W3CDTF">2026-03-20T00:18:03Z</dcterms:modified>
</cp:coreProperties>
</file>