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5" fontId="3" fillId="2" borderId="0" pivotButton="0" quotePrefix="0" xfId="0"/>
    <xf numFmtId="0" fontId="3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CRV &lt;-&gt; PCL Net Trade — Windowed Calculator</t>
        </is>
      </c>
    </row>
    <row r="2" ht="30" customHeight="1">
      <c r="A2" s="2" t="inlineStr">
        <is>
          <t>Set the Include column (1/0) in the table below to choose the month window. Totals, rates, and net recompute automatically.</t>
        </is>
      </c>
    </row>
    <row r="4">
      <c r="A4" s="3" t="inlineStr">
        <is>
          <t>Value multipliers (EDIT)</t>
        </is>
      </c>
    </row>
    <row r="5">
      <c r="A5" t="inlineStr">
        <is>
          <t>PCL $ / conversion</t>
        </is>
      </c>
      <c r="B5" t="n">
        <v>675</v>
      </c>
    </row>
    <row r="6" ht="30" customHeight="1">
      <c r="A6" t="inlineStr">
        <is>
          <t>CRV $ / conversion (5-yr NIBT)</t>
        </is>
      </c>
      <c r="B6" t="n">
        <v>36</v>
      </c>
      <c r="C6" s="2" t="inlineStr">
        <is>
          <t>PENDING — confirm thousands vs millions at source. 36 = thousands; if millions use 36000.</t>
        </is>
      </c>
    </row>
    <row r="8">
      <c r="A8" s="3" t="inlineStr">
        <is>
          <t>Windowed rates</t>
        </is>
      </c>
      <c r="B8" s="3" t="inlineStr">
        <is>
          <t>Action</t>
        </is>
      </c>
      <c r="C8" s="3" t="inlineStr">
        <is>
          <t>Control</t>
        </is>
      </c>
    </row>
    <row r="9">
      <c r="A9" t="inlineStr">
        <is>
          <t>PCL rate</t>
        </is>
      </c>
      <c r="B9" s="4">
        <f>D46/C46</f>
        <v/>
      </c>
      <c r="C9" s="4">
        <f>G46/F46</f>
        <v/>
      </c>
    </row>
    <row r="10">
      <c r="A10" t="inlineStr">
        <is>
          <t>CRV rate</t>
        </is>
      </c>
      <c r="B10" s="4">
        <f>E46/C46</f>
        <v/>
      </c>
      <c r="C10" s="4">
        <f>H46/F46</f>
        <v/>
      </c>
    </row>
    <row r="12">
      <c r="A12" s="3" t="inlineStr">
        <is>
          <t>Per 1,000 overlap accounts</t>
        </is>
      </c>
    </row>
    <row r="13">
      <c r="A13" t="inlineStr">
        <is>
          <t>PCL effect of running CRV (Action - Control)</t>
        </is>
      </c>
      <c r="B13" s="5">
        <f>(B9-C9)*1000</f>
        <v/>
      </c>
    </row>
    <row r="14">
      <c r="A14" t="inlineStr">
        <is>
          <t>CRV effect of running CRV (Action - Control)</t>
        </is>
      </c>
      <c r="B14" s="5">
        <f>(B10-C10)*1000</f>
        <v/>
      </c>
    </row>
    <row r="16">
      <c r="A16" s="3" t="inlineStr">
        <is>
          <t>Dollar net over the selected window</t>
        </is>
      </c>
    </row>
    <row r="17">
      <c r="A17" t="inlineStr">
        <is>
          <t>Incremental PCL conversions (recovered by stopping CRV)</t>
        </is>
      </c>
      <c r="B17" s="6">
        <f>(C9-B9)*C46</f>
        <v/>
      </c>
    </row>
    <row r="18">
      <c r="A18" t="inlineStr">
        <is>
          <t>Incremental CRV conversions (forgone by stopping CRV)</t>
        </is>
      </c>
      <c r="B18" s="6">
        <f>(B10-C10)*C46</f>
        <v/>
      </c>
    </row>
    <row r="19">
      <c r="A19" t="inlineStr">
        <is>
          <t>PCL recovered $</t>
        </is>
      </c>
      <c r="B19" s="7">
        <f>B17*B5</f>
        <v/>
      </c>
    </row>
    <row r="20">
      <c r="A20" t="inlineStr">
        <is>
          <t>CRV forgone $</t>
        </is>
      </c>
      <c r="B20" s="7">
        <f>B18*B6</f>
        <v/>
      </c>
    </row>
    <row r="21">
      <c r="A21" s="8" t="inlineStr">
        <is>
          <t>NET RECOVERY $ (stop CRV)</t>
        </is>
      </c>
      <c r="B21" s="9">
        <f>B19-B20</f>
        <v/>
      </c>
    </row>
    <row r="22" ht="25" customHeight="1">
      <c r="A22" s="10">
        <f>"Per 1,000: running CRV buys "&amp;TEXT(B14,"+0.0")&amp;" CRV but costs "&amp;TEXT(B13,"0.0")&amp;" PCL"</f>
        <v/>
      </c>
    </row>
    <row r="24">
      <c r="A24" s="3" t="inlineStr">
        <is>
          <t>Include</t>
        </is>
      </c>
      <c r="B24" s="3" t="inlineStr">
        <is>
          <t>Month</t>
        </is>
      </c>
      <c r="C24" s="3" t="inlineStr">
        <is>
          <t>PCL_leads_A</t>
        </is>
      </c>
      <c r="D24" s="3" t="inlineStr">
        <is>
          <t>PCL_resp_A</t>
        </is>
      </c>
      <c r="E24" s="3" t="inlineStr">
        <is>
          <t>CRV_resp_A</t>
        </is>
      </c>
      <c r="F24" s="3" t="inlineStr">
        <is>
          <t>PCL_leads_C</t>
        </is>
      </c>
      <c r="G24" s="3" t="inlineStr">
        <is>
          <t>PCL_resp_C</t>
        </is>
      </c>
      <c r="H24" s="3" t="inlineStr">
        <is>
          <t>CRV_resp_C</t>
        </is>
      </c>
    </row>
    <row r="25">
      <c r="A25" t="n">
        <v>1</v>
      </c>
      <c r="B25" t="inlineStr">
        <is>
          <t>2024-10</t>
        </is>
      </c>
      <c r="C25" t="n">
        <v>318968</v>
      </c>
      <c r="D25" t="n">
        <v>48015</v>
      </c>
      <c r="E25" t="n">
        <v>5058</v>
      </c>
      <c r="F25" t="n">
        <v>16339</v>
      </c>
      <c r="G25" t="n">
        <v>2675</v>
      </c>
      <c r="H25" t="n">
        <v>204</v>
      </c>
    </row>
    <row r="26">
      <c r="A26" t="n">
        <v>1</v>
      </c>
      <c r="B26" t="inlineStr">
        <is>
          <t>2024-11</t>
        </is>
      </c>
      <c r="C26" t="n">
        <v>240798</v>
      </c>
      <c r="D26" t="n">
        <v>39869</v>
      </c>
      <c r="E26" t="n">
        <v>4508</v>
      </c>
      <c r="F26" t="n">
        <v>12255</v>
      </c>
      <c r="G26" t="n">
        <v>2079</v>
      </c>
      <c r="H26" t="n">
        <v>163</v>
      </c>
    </row>
    <row r="27">
      <c r="A27" t="n">
        <v>1</v>
      </c>
      <c r="B27" t="inlineStr">
        <is>
          <t>2024-12</t>
        </is>
      </c>
      <c r="C27" t="n">
        <v>202467</v>
      </c>
      <c r="D27" t="n">
        <v>27573</v>
      </c>
      <c r="E27" t="n">
        <v>3628</v>
      </c>
      <c r="F27" t="n">
        <v>10581</v>
      </c>
      <c r="G27" t="n">
        <v>1509</v>
      </c>
      <c r="H27" t="n">
        <v>129</v>
      </c>
    </row>
    <row r="28">
      <c r="A28" t="n">
        <v>1</v>
      </c>
      <c r="B28" t="inlineStr">
        <is>
          <t>2025-01</t>
        </is>
      </c>
      <c r="C28" t="n">
        <v>633278</v>
      </c>
      <c r="D28" t="n">
        <v>108073</v>
      </c>
      <c r="E28" t="n">
        <v>13283</v>
      </c>
      <c r="F28" t="n">
        <v>32826</v>
      </c>
      <c r="G28" t="n">
        <v>5902</v>
      </c>
      <c r="H28" t="n">
        <v>546</v>
      </c>
    </row>
    <row r="29">
      <c r="A29" t="n">
        <v>1</v>
      </c>
      <c r="B29" t="inlineStr">
        <is>
          <t>2025-02</t>
        </is>
      </c>
      <c r="C29" t="n">
        <v>191699</v>
      </c>
      <c r="D29" t="n">
        <v>30780</v>
      </c>
      <c r="E29" t="n">
        <v>3759</v>
      </c>
      <c r="F29" t="n">
        <v>9839</v>
      </c>
      <c r="G29" t="n">
        <v>1653</v>
      </c>
      <c r="H29" t="n">
        <v>134</v>
      </c>
    </row>
    <row r="30">
      <c r="A30" t="n">
        <v>1</v>
      </c>
      <c r="B30" t="inlineStr">
        <is>
          <t>2025-03</t>
        </is>
      </c>
      <c r="C30" t="n">
        <v>229542</v>
      </c>
      <c r="D30" t="n">
        <v>46625</v>
      </c>
      <c r="E30" t="n">
        <v>5207</v>
      </c>
      <c r="F30" t="n">
        <v>12169</v>
      </c>
      <c r="G30" t="n">
        <v>2651</v>
      </c>
      <c r="H30" t="n">
        <v>201</v>
      </c>
    </row>
    <row r="31">
      <c r="A31" t="n">
        <v>1</v>
      </c>
      <c r="B31" t="inlineStr">
        <is>
          <t>2025-04</t>
        </is>
      </c>
      <c r="C31" t="n">
        <v>357334</v>
      </c>
      <c r="D31" t="n">
        <v>57812</v>
      </c>
      <c r="E31" t="n">
        <v>7552</v>
      </c>
      <c r="F31" t="n">
        <v>18455</v>
      </c>
      <c r="G31" t="n">
        <v>3124</v>
      </c>
      <c r="H31" t="n">
        <v>294</v>
      </c>
    </row>
    <row r="32">
      <c r="A32" t="n">
        <v>1</v>
      </c>
      <c r="B32" t="inlineStr">
        <is>
          <t>2025-05</t>
        </is>
      </c>
      <c r="C32" t="n">
        <v>322745</v>
      </c>
      <c r="D32" t="n">
        <v>52300</v>
      </c>
      <c r="E32" t="n">
        <v>6203</v>
      </c>
      <c r="F32" t="n">
        <v>17036</v>
      </c>
      <c r="G32" t="n">
        <v>2915</v>
      </c>
      <c r="H32" t="n">
        <v>244</v>
      </c>
    </row>
    <row r="33">
      <c r="A33" t="n">
        <v>1</v>
      </c>
      <c r="B33" t="inlineStr">
        <is>
          <t>2025-06</t>
        </is>
      </c>
      <c r="C33" t="n">
        <v>326117</v>
      </c>
      <c r="D33" t="n">
        <v>47555</v>
      </c>
      <c r="E33" t="n">
        <v>6266</v>
      </c>
      <c r="F33" t="n">
        <v>16759</v>
      </c>
      <c r="G33" t="n">
        <v>2645</v>
      </c>
      <c r="H33" t="n">
        <v>231</v>
      </c>
    </row>
    <row r="34">
      <c r="A34" t="n">
        <v>1</v>
      </c>
      <c r="B34" t="inlineStr">
        <is>
          <t>2025-07</t>
        </is>
      </c>
      <c r="C34" t="n">
        <v>353949</v>
      </c>
      <c r="D34" t="n">
        <v>57388</v>
      </c>
      <c r="E34" t="n">
        <v>7455</v>
      </c>
      <c r="F34" t="n">
        <v>18726</v>
      </c>
      <c r="G34" t="n">
        <v>3174</v>
      </c>
      <c r="H34" t="n">
        <v>304</v>
      </c>
    </row>
    <row r="35">
      <c r="A35" t="n">
        <v>1</v>
      </c>
      <c r="B35" t="inlineStr">
        <is>
          <t>2025-08</t>
        </is>
      </c>
      <c r="C35" t="n">
        <v>287958</v>
      </c>
      <c r="D35" t="n">
        <v>42681</v>
      </c>
      <c r="E35" t="n">
        <v>5352</v>
      </c>
      <c r="F35" t="n">
        <v>14873</v>
      </c>
      <c r="G35" t="n">
        <v>2350</v>
      </c>
      <c r="H35" t="n">
        <v>226</v>
      </c>
    </row>
    <row r="36">
      <c r="A36" t="n">
        <v>1</v>
      </c>
      <c r="B36" t="inlineStr">
        <is>
          <t>2025-09</t>
        </is>
      </c>
      <c r="C36" t="n">
        <v>341759</v>
      </c>
      <c r="D36" t="n">
        <v>55160</v>
      </c>
      <c r="E36" t="n">
        <v>6705</v>
      </c>
      <c r="F36" t="n">
        <v>17992</v>
      </c>
      <c r="G36" t="n">
        <v>3198</v>
      </c>
      <c r="H36" t="n">
        <v>261</v>
      </c>
    </row>
    <row r="37">
      <c r="A37" t="n">
        <v>1</v>
      </c>
      <c r="B37" t="inlineStr">
        <is>
          <t>2025-10</t>
        </is>
      </c>
      <c r="C37" t="n">
        <v>302840</v>
      </c>
      <c r="D37" t="n">
        <v>48082</v>
      </c>
      <c r="E37" t="n">
        <v>6100</v>
      </c>
      <c r="F37" t="n">
        <v>15757</v>
      </c>
      <c r="G37" t="n">
        <v>2620</v>
      </c>
      <c r="H37" t="n">
        <v>274</v>
      </c>
    </row>
    <row r="38">
      <c r="A38" t="n">
        <v>1</v>
      </c>
      <c r="B38" t="inlineStr">
        <is>
          <t>2025-11</t>
        </is>
      </c>
      <c r="C38" t="n">
        <v>416252</v>
      </c>
      <c r="D38" t="n">
        <v>85260</v>
      </c>
      <c r="E38" t="n">
        <v>8921</v>
      </c>
      <c r="F38" t="n">
        <v>21902</v>
      </c>
      <c r="G38" t="n">
        <v>4841</v>
      </c>
      <c r="H38" t="n">
        <v>329</v>
      </c>
    </row>
    <row r="39">
      <c r="A39" t="n">
        <v>1</v>
      </c>
      <c r="B39" t="inlineStr">
        <is>
          <t>2025-12</t>
        </is>
      </c>
      <c r="C39" t="n">
        <v>387189</v>
      </c>
      <c r="D39" t="n">
        <v>69636</v>
      </c>
      <c r="E39" t="n">
        <v>8028</v>
      </c>
      <c r="F39" t="n">
        <v>20316</v>
      </c>
      <c r="G39" t="n">
        <v>3942</v>
      </c>
      <c r="H39" t="n">
        <v>347</v>
      </c>
    </row>
    <row r="40">
      <c r="A40" t="n">
        <v>1</v>
      </c>
      <c r="B40" t="inlineStr">
        <is>
          <t>2026-01</t>
        </is>
      </c>
      <c r="C40" t="n">
        <v>384064</v>
      </c>
      <c r="D40" t="n">
        <v>68246</v>
      </c>
      <c r="E40" t="n">
        <v>8288</v>
      </c>
      <c r="F40" t="n">
        <v>19908</v>
      </c>
      <c r="G40" t="n">
        <v>3712</v>
      </c>
      <c r="H40" t="n">
        <v>323</v>
      </c>
    </row>
    <row r="41">
      <c r="A41" t="n">
        <v>1</v>
      </c>
      <c r="B41" t="inlineStr">
        <is>
          <t>2026-02</t>
        </is>
      </c>
      <c r="C41" t="n">
        <v>319024</v>
      </c>
      <c r="D41" t="n">
        <v>55105</v>
      </c>
      <c r="E41" t="n">
        <v>6175</v>
      </c>
      <c r="F41" t="n">
        <v>16620</v>
      </c>
      <c r="G41" t="n">
        <v>3180</v>
      </c>
      <c r="H41" t="n">
        <v>269</v>
      </c>
    </row>
    <row r="42">
      <c r="A42" t="n">
        <v>1</v>
      </c>
      <c r="B42" t="inlineStr">
        <is>
          <t>2026-03</t>
        </is>
      </c>
      <c r="C42" t="n">
        <v>384773</v>
      </c>
      <c r="D42" t="n">
        <v>56604</v>
      </c>
      <c r="E42" t="n">
        <v>6226</v>
      </c>
      <c r="F42" t="n">
        <v>20033</v>
      </c>
      <c r="G42" t="n">
        <v>3068</v>
      </c>
      <c r="H42" t="n">
        <v>247</v>
      </c>
    </row>
    <row r="43">
      <c r="A43" t="n">
        <v>1</v>
      </c>
      <c r="B43" t="inlineStr">
        <is>
          <t>2026-04</t>
        </is>
      </c>
      <c r="C43" t="n">
        <v>362761</v>
      </c>
      <c r="D43" t="n">
        <v>43196</v>
      </c>
      <c r="E43" t="n">
        <v>5112</v>
      </c>
      <c r="F43" t="n">
        <v>18688</v>
      </c>
      <c r="G43" t="n">
        <v>2425</v>
      </c>
      <c r="H43" t="n">
        <v>213</v>
      </c>
    </row>
    <row r="44">
      <c r="A44" t="n">
        <v>0</v>
      </c>
      <c r="B44" t="inlineStr">
        <is>
          <t>2026-05</t>
        </is>
      </c>
      <c r="C44" t="n">
        <v>330488</v>
      </c>
      <c r="D44" t="n">
        <v>12286</v>
      </c>
      <c r="E44" t="n">
        <v>3340</v>
      </c>
      <c r="F44" t="n">
        <v>17219</v>
      </c>
      <c r="G44" t="n">
        <v>728</v>
      </c>
      <c r="H44" t="n">
        <v>157</v>
      </c>
    </row>
    <row r="46">
      <c r="A46" s="3" t="inlineStr">
        <is>
          <t>TOTAL (included)</t>
        </is>
      </c>
      <c r="C46" s="6">
        <f>SUMPRODUCT($A$25:$A$44,C25:C44)</f>
        <v/>
      </c>
      <c r="D46" s="6">
        <f>SUMPRODUCT($A$25:$A$44,D25:D44)</f>
        <v/>
      </c>
      <c r="E46" s="6">
        <f>SUMPRODUCT($A$25:$A$44,E25:E44)</f>
        <v/>
      </c>
      <c r="F46" s="6">
        <f>SUMPRODUCT($A$25:$A$44,F25:F44)</f>
        <v/>
      </c>
      <c r="G46" s="6">
        <f>SUMPRODUCT($A$25:$A$44,G25:G44)</f>
        <v/>
      </c>
      <c r="H46" s="6">
        <f>SUMPRODUCT($A$25:$A$44,H25:H44)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2026-06-01T17:47:39Z</dcterms:created>
  <dcterms:modified xmlns:dcterms="http://purl.org/dc/terms/" xmlns:xsi="http://www.w3.org/2001/XMLSchema-instance" xsi:type="dcterms:W3CDTF">2026-06-01T17:47:39Z</dcterms:modified>
</cp:coreProperties>
</file>