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T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1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wrapText="1"/>
    </xf>
    <xf numFmtId="3" fontId="0" fillId="0" borderId="0" pivotButton="0" quotePrefix="0" xfId="0"/>
    <xf numFmtId="165" fontId="0" fillId="0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CRV &lt;-&gt; PCL Cannibalization — Net Trade (from Q06)</t>
        </is>
      </c>
    </row>
    <row r="3">
      <c r="A3" s="2" t="inlineStr">
        <is>
          <t>Q06 overall counts (inputs)</t>
        </is>
      </c>
    </row>
    <row r="4">
      <c r="A4" s="2" t="inlineStr">
        <is>
          <t>metric</t>
        </is>
      </c>
      <c r="B4" s="2" t="inlineStr">
        <is>
          <t>Action overlap</t>
        </is>
      </c>
      <c r="C4" s="2" t="inlineStr">
        <is>
          <t>Control overlap</t>
        </is>
      </c>
    </row>
    <row r="5">
      <c r="A5" t="inlineStr">
        <is>
          <t>PCL leads (denominator)</t>
        </is>
      </c>
      <c r="B5" t="n">
        <v>6694005</v>
      </c>
      <c r="C5" t="n">
        <v>348293</v>
      </c>
    </row>
    <row r="6">
      <c r="A6" t="inlineStr">
        <is>
          <t>PCL responders</t>
        </is>
      </c>
      <c r="B6" t="n">
        <v>1052246</v>
      </c>
      <c r="C6" t="n">
        <v>58391</v>
      </c>
    </row>
    <row r="7">
      <c r="A7" t="inlineStr">
        <is>
          <t>CRV responders</t>
        </is>
      </c>
      <c r="B7" t="n">
        <v>127166</v>
      </c>
      <c r="C7" t="n">
        <v>5096</v>
      </c>
    </row>
    <row r="9">
      <c r="A9" s="2" t="inlineStr">
        <is>
          <t>Value multipliers (EDIT THESE)</t>
        </is>
      </c>
    </row>
    <row r="10">
      <c r="A10" t="inlineStr">
        <is>
          <t>PCL $ / conversion</t>
        </is>
      </c>
      <c r="B10" t="n">
        <v>675</v>
      </c>
    </row>
    <row r="11">
      <c r="A11" t="inlineStr">
        <is>
          <t>CRV $ / conversion (5-yr NIBT)</t>
        </is>
      </c>
      <c r="B11" t="n">
        <v>36</v>
      </c>
      <c r="C11" s="3" t="inlineStr">
        <is>
          <t>PENDING — confirm thousands vs millions at source. 36 = thousands basis; if millions, use 36000.</t>
        </is>
      </c>
    </row>
    <row r="13">
      <c r="A13" s="2" t="inlineStr">
        <is>
          <t>Conversion rates</t>
        </is>
      </c>
    </row>
    <row r="14">
      <c r="A14" t="inlineStr">
        <is>
          <t>PCL rate</t>
        </is>
      </c>
      <c r="B14" s="4">
        <f>B6/B5</f>
        <v/>
      </c>
      <c r="C14" s="4">
        <f>C6/C5</f>
        <v/>
      </c>
    </row>
    <row r="15">
      <c r="A15" t="inlineStr">
        <is>
          <t>CRV rate</t>
        </is>
      </c>
      <c r="B15" s="4">
        <f>B7/B5</f>
        <v/>
      </c>
      <c r="C15" s="4">
        <f>C7/C5</f>
        <v/>
      </c>
    </row>
    <row r="17">
      <c r="A17" s="2" t="inlineStr">
        <is>
          <t>Per 1,000 PCL-overlap accounts</t>
        </is>
      </c>
      <c r="B17" s="2" t="inlineStr">
        <is>
          <t>With CRV (Action)</t>
        </is>
      </c>
      <c r="C17" s="2" t="inlineStr">
        <is>
          <t>Without CRV (Control)</t>
        </is>
      </c>
      <c r="D17" s="2" t="inlineStr">
        <is>
          <t>Effect of CRV</t>
        </is>
      </c>
    </row>
    <row r="18">
      <c r="A18" t="inlineStr">
        <is>
          <t>PCL conversions</t>
        </is>
      </c>
      <c r="B18" s="5">
        <f>B14*1000</f>
        <v/>
      </c>
      <c r="C18" s="5">
        <f>C14*1000</f>
        <v/>
      </c>
      <c r="D18" s="5">
        <f>B18-C18</f>
        <v/>
      </c>
    </row>
    <row r="19">
      <c r="A19" t="inlineStr">
        <is>
          <t>CRV conversions</t>
        </is>
      </c>
      <c r="B19" s="5">
        <f>B15*1000</f>
        <v/>
      </c>
      <c r="C19" s="5">
        <f>C15*1000</f>
        <v/>
      </c>
      <c r="D19" s="5">
        <f>B19-C19</f>
        <v/>
      </c>
    </row>
    <row r="21">
      <c r="A21" s="6">
        <f>"Running CRV buys "&amp;TEXT(D19,"+0.0")&amp;" CRV conversions but costs "&amp;TEXT(D18,"0.0")&amp;" PCL conversions per 1,000 accounts"</f>
        <v/>
      </c>
    </row>
    <row r="23">
      <c r="A23" s="2" t="inlineStr">
        <is>
          <t>Dollar net — full overlap population</t>
        </is>
      </c>
    </row>
    <row r="24">
      <c r="A24" t="inlineStr">
        <is>
          <t>Incremental PCL conversions (recovered by stopping CRV)</t>
        </is>
      </c>
      <c r="B24" s="7">
        <f>(C14-B14)*B5</f>
        <v/>
      </c>
    </row>
    <row r="25">
      <c r="A25" t="inlineStr">
        <is>
          <t>Incremental CRV conversions (forgone by stopping CRV)</t>
        </is>
      </c>
      <c r="B25" s="7">
        <f>(B15-C15)*B5</f>
        <v/>
      </c>
    </row>
    <row r="26">
      <c r="A26" t="inlineStr">
        <is>
          <t>PCL recovered $</t>
        </is>
      </c>
      <c r="B26" s="8">
        <f>B24*B10</f>
        <v/>
      </c>
    </row>
    <row r="27">
      <c r="A27" t="inlineStr">
        <is>
          <t>CRV forgone $</t>
        </is>
      </c>
      <c r="B27" s="8">
        <f>B25*B11</f>
        <v/>
      </c>
    </row>
    <row r="28">
      <c r="A28" s="2" t="inlineStr">
        <is>
          <t>NET RECOVERY $ (stop CRV)</t>
        </is>
      </c>
      <c r="B28" s="9">
        <f>B26-B27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2026-06-01T17:40:36Z</dcterms:created>
  <dcterms:modified xmlns:dcterms="http://purl.org/dc/terms/" xmlns:xsi="http://www.w3.org/2001/XMLSchema-instance" xsi:type="dcterms:W3CDTF">2026-06-01T17:40:36Z</dcterms:modified>
</cp:coreProperties>
</file>