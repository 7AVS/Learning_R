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ndre\New_projects\cards\campaigns\PCQ\"/>
    </mc:Choice>
  </mc:AlternateContent>
  <xr:revisionPtr revIDLastSave="0" documentId="13_ncr:1_{E61DD97A-48FF-4AA7-BBB2-977340B6DBF8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PCQ DM MD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1" l="1"/>
  <c r="H40" i="1" s="1"/>
  <c r="E40" i="1"/>
  <c r="F40" i="1" s="1"/>
  <c r="C40" i="1"/>
  <c r="D40" i="1" s="1"/>
  <c r="G39" i="1"/>
  <c r="H39" i="1" s="1"/>
  <c r="E39" i="1"/>
  <c r="F39" i="1" s="1"/>
  <c r="C39" i="1"/>
  <c r="D39" i="1" s="1"/>
  <c r="G38" i="1"/>
  <c r="H38" i="1" s="1"/>
  <c r="F38" i="1"/>
  <c r="E38" i="1"/>
  <c r="D38" i="1"/>
  <c r="C38" i="1"/>
  <c r="G33" i="1"/>
  <c r="F33" i="1"/>
  <c r="E33" i="1"/>
  <c r="H33" i="1" s="1"/>
  <c r="G32" i="1"/>
  <c r="F32" i="1"/>
  <c r="E32" i="1"/>
  <c r="H32" i="1" s="1"/>
  <c r="G31" i="1"/>
  <c r="F31" i="1"/>
  <c r="E31" i="1"/>
  <c r="H31" i="1" s="1"/>
  <c r="G26" i="1"/>
  <c r="F26" i="1"/>
  <c r="H26" i="1" s="1"/>
  <c r="E26" i="1"/>
  <c r="C26" i="1"/>
  <c r="G25" i="1"/>
  <c r="F25" i="1"/>
  <c r="H25" i="1" s="1"/>
  <c r="E25" i="1"/>
  <c r="C25" i="1"/>
  <c r="G24" i="1"/>
  <c r="F24" i="1"/>
  <c r="E24" i="1"/>
  <c r="H24" i="1" s="1"/>
  <c r="C24" i="1"/>
  <c r="G23" i="1"/>
  <c r="F23" i="1"/>
  <c r="E23" i="1"/>
  <c r="H23" i="1" s="1"/>
  <c r="C23" i="1"/>
  <c r="C17" i="1"/>
  <c r="C16" i="1"/>
  <c r="C19" i="1" s="1"/>
  <c r="C5" i="1"/>
  <c r="C18" i="1" s="1"/>
  <c r="J26" i="1" l="1"/>
  <c r="I26" i="1"/>
  <c r="J24" i="1"/>
  <c r="I24" i="1"/>
  <c r="J23" i="1"/>
  <c r="I23" i="1"/>
  <c r="I25" i="1"/>
  <c r="J25" i="1"/>
</calcChain>
</file>

<file path=xl/sharedStrings.xml><?xml version="1.0" encoding="utf-8"?>
<sst xmlns="http://schemas.openxmlformats.org/spreadsheetml/2006/main" count="82" uniqueCount="79">
  <si>
    <t>Section 1 — Statistical Inputs (edit green cells)</t>
  </si>
  <si>
    <t>Total population (7th decile)</t>
  </si>
  <si>
    <t>Jan 2026 deployment: 7th decile = 55,039 clients (2026010PCQ)</t>
  </si>
  <si>
    <t>Control allocation</t>
  </si>
  <si>
    <t>Fraction held back (no DM). Editable — try 0.10, 0.20, 0.50</t>
  </si>
  <si>
    <t>Test allocation</t>
  </si>
  <si>
    <t>Auto-calculated as 1 - control allocation</t>
  </si>
  <si>
    <t>Significance level (alpha)</t>
  </si>
  <si>
    <t>Power level</t>
  </si>
  <si>
    <t>Baseline RR (7th decile)</t>
  </si>
  <si>
    <t>7th decile overall approval rate (252/55,048), Jan 2026 deployment</t>
  </si>
  <si>
    <t>Section 2 — Do Not Edit — Statistical Constants</t>
  </si>
  <si>
    <t>Critical Value for Significance (Za)</t>
  </si>
  <si>
    <t>Two-sided test: alpha=0.05 → Za = 1.9600 (NORM.S.INV(0.975))</t>
  </si>
  <si>
    <t>Critical Value for Power (Zb)</t>
  </si>
  <si>
    <t>Power=80% → Zb = 0.8416 (NORM.S.INV(0.80))</t>
  </si>
  <si>
    <t>Two-sided test: we want to detect whether DM changes the approval rate (up or down). If you change alpha/power, update Za/Zb using =NORM.S.INV(1-alpha/2) and =NORM.S.INV(power).</t>
  </si>
  <si>
    <t>Section 3 — Derived Values</t>
  </si>
  <si>
    <t>Control n</t>
  </si>
  <si>
    <t>Records held back — no DM</t>
  </si>
  <si>
    <t>Test n</t>
  </si>
  <si>
    <t>Records receiving DM + digital channels</t>
  </si>
  <si>
    <t>Allocation check</t>
  </si>
  <si>
    <t>Should show 100.00%</t>
  </si>
  <si>
    <t>MDE at selected control split (Section 1)</t>
  </si>
  <si>
    <t>Minimum detectable effect (absolute pp) at the control % set in C4</t>
  </si>
  <si>
    <t>Section 4 — MDE by Control Split (reference scenarios)</t>
  </si>
  <si>
    <t>#</t>
  </si>
  <si>
    <t>Scenario</t>
  </si>
  <si>
    <t>Population</t>
  </si>
  <si>
    <t>Control %</t>
  </si>
  <si>
    <t>n_control</t>
  </si>
  <si>
    <t>n_test</t>
  </si>
  <si>
    <t>Baseline RR</t>
  </si>
  <si>
    <t>MDE (abs)</t>
  </si>
  <si>
    <t>Detectable Test Rate</t>
  </si>
  <si>
    <t>Assessment</t>
  </si>
  <si>
    <t>10% control</t>
  </si>
  <si>
    <t>20% control</t>
  </si>
  <si>
    <t>30% control</t>
  </si>
  <si>
    <t>50% control</t>
  </si>
  <si>
    <t>Row 23 (10% control) corresponds to the default control split in Section 1 (C4 = 10%). Change C4 to see the main MDE (C19) update dynamically.</t>
  </si>
  <si>
    <t>Section 5 — Stress Test Scenarios</t>
  </si>
  <si>
    <t>MDE @ 10% ctrl</t>
  </si>
  <si>
    <t>MDE @ 20% ctrl</t>
  </si>
  <si>
    <t>MDE @ 50% ctrl</t>
  </si>
  <si>
    <t>Assessment (10% ctrl)</t>
  </si>
  <si>
    <t>A — 7th decile only  [Baseline from Jan 2026 deployment (252 approvals / 55,048 clients)]</t>
  </si>
  <si>
    <t>B — 7th + 8th decile combined  [Weighted avg: 7th (0.46%) + 8th decile; pop ~55K + 44K = 99K]</t>
  </si>
  <si>
    <t>C — 120K allocation (T's figure)  [T mentioned 120K additional DMs/month; same 7th-decile baseline]</t>
  </si>
  <si>
    <t>Section 6 — Minimum Sample Size to Detect a Given Lift</t>
  </si>
  <si>
    <t>Formula: N = (Za+Zb)^2 * p0*(1-p0) * (1/ctrl_frac + 1/(1-ctrl_frac)) / MDE^2    (Then n_control = ctrl_frac * N)</t>
  </si>
  <si>
    <t>Target Lift (abs pp)</t>
  </si>
  <si>
    <t>Min N @ 10% ctrl</t>
  </si>
  <si>
    <t>n_ctrl @ 10%</t>
  </si>
  <si>
    <t>Min N @ 20% ctrl</t>
  </si>
  <si>
    <t>n_ctrl @ 20%</t>
  </si>
  <si>
    <t>Min N @ 50% ctrl</t>
  </si>
  <si>
    <t>n_ctrl @ 50%</t>
  </si>
  <si>
    <t>0.3pp (conservative)</t>
  </si>
  <si>
    <t>0.5pp (target)</t>
  </si>
  <si>
    <t>0.8pp (T's benchmark)</t>
  </si>
  <si>
    <t>Section 7 — Notes</t>
  </si>
  <si>
    <t>1.</t>
  </si>
  <si>
    <t>This is a DM holdout test for the PCQ (Credit Card Acquisition) 7th decile expansion. The business is adding ~120K DMs/month starting April 7, 2026.</t>
  </si>
  <si>
    <t>2.</t>
  </si>
  <si>
    <t>Test group receives DM + all digital channels. Control group receives digital channels only (no DM). This isolates the incremental lift from the DM piece.</t>
  </si>
  <si>
    <t>3.</t>
  </si>
  <si>
    <t>Success metric: app_approved (card account opened). Response window: 60–90 days depending on TPA offer validity.</t>
  </si>
  <si>
    <t>4.</t>
  </si>
  <si>
    <t>Baseline RR = 7th decile overall approval rate from the Jan 2026 deployment (tactic 2026010PCQ). Source: 252 approvals / 55,048 clients = 0.4578%. This is the most mature deployment with a ~90-day response window.</t>
  </si>
  <si>
    <t>5.</t>
  </si>
  <si>
    <t>NBO channel selection is eligibility-based. The current near-zero DM group in the 7th decile (only ~3K of 55K had DM in Jan 2026) includes opt-outs per Daniel Chin. This baseline reflects the overall decile rate (94% non-DM clients), which is conservative for the control group estimate.</t>
  </si>
  <si>
    <t>6.</t>
  </si>
  <si>
    <t>Green cells are editable — change C3 (population), C4 (control %), or C8 (baseline RR) to recalculate the entire sheet dynamically.</t>
  </si>
  <si>
    <t>7.</t>
  </si>
  <si>
    <t>Two-sided test (Za = 1.9600): we measure whether DM changes the rate in either direction, not just up. This is more conservative than one-sided but is the standard for confirmatory holdout tests.</t>
  </si>
  <si>
    <t>8.</t>
  </si>
  <si>
    <t>Historical DM lift estimate: ~0.8pp (per T, based on prior years). At 10% control with 55K pop, MDE ≈ 0.9pp — the test is borderline underpowered to detect 0.8pp. At 120K pop (T's figure), 10% control gives MDE ≈ 0.6pp — still marginal. 20% control at 120K gives MDE ≈ 0.7pp. Recommend discussing with T whether the 0.8pp lift expectation is 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</si>
</sst>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404040"/>
      <name val="Calibri"/>
    </font>
    <font>
      <i/>
      <sz val="9"/>
      <color rgb="FF80808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3" fontId="0" fillId="3" borderId="0" xfId="0" applyNumberFormat="1" applyFill="1"/>
    <xf numFmtId="0" fontId="2" fillId="0" borderId="0" xfId="0" applyFont="1"/>
    <xf numFmtId="10" fontId="0" fillId="3" borderId="0" xfId="0" applyNumberFormat="1" applyFill="1"/>
    <xf numFmtId="10" fontId="0" fillId="0" borderId="0" xfId="0" applyNumberFormat="1"/>
    <xf numFmtId="164" fontId="0" fillId="3" borderId="0" xfId="0" applyNumberFormat="1" applyFill="1"/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0" fontId="4" fillId="4" borderId="1" xfId="0" applyFont="1" applyFill="1" applyBorder="1" applyAlignment="1">
      <alignment horizontal="center" wrapText="1"/>
    </xf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4" fontId="0" fillId="3" borderId="1" xfId="0" applyNumberFormat="1" applyFill="1" applyBorder="1"/>
    <xf numFmtId="3" fontId="0" fillId="3" borderId="1" xfId="0" applyNumberFormat="1" applyFill="1" applyBorder="1"/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0"/>
  <sheetViews>
    <sheetView showGridLines="0" tabSelected="1" zoomScale="90" workbookViewId="0">
      <pane xSplit="2" ySplit="2" topLeftCell="C3" activePane="bottomRight" state="frozen"/>
      <selection pane="topRight"/>
      <selection pane="bottomLeft"/>
      <selection pane="bottomRight" activeCell="C8" sqref="C8"/>
    </sheetView>
  </sheetViews>
  <sheetFormatPr defaultRowHeight="14.5" x14ac:dyDescent="0.35"/>
  <cols>
    <col min="1" max="1" width="5" customWidth="1"/>
    <col min="2" max="2" width="50" customWidth="1"/>
    <col min="3" max="3" width="20" customWidth="1"/>
    <col min="4" max="8" width="16" customWidth="1"/>
    <col min="9" max="9" width="18" customWidth="1"/>
    <col min="10" max="11" width="16" customWidth="1"/>
    <col min="12" max="12" width="50" customWidth="1"/>
  </cols>
  <sheetData>
    <row r="2" spans="1:12" x14ac:dyDescent="0.3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B3" s="3" t="s">
        <v>1</v>
      </c>
      <c r="C3" s="4">
        <v>55000</v>
      </c>
      <c r="D3" s="5" t="s">
        <v>2</v>
      </c>
    </row>
    <row r="4" spans="1:12" x14ac:dyDescent="0.35">
      <c r="B4" s="3" t="s">
        <v>3</v>
      </c>
      <c r="C4" s="6">
        <v>0.1</v>
      </c>
      <c r="D4" s="5" t="s">
        <v>4</v>
      </c>
    </row>
    <row r="5" spans="1:12" x14ac:dyDescent="0.35">
      <c r="B5" s="3" t="s">
        <v>5</v>
      </c>
      <c r="C5" s="7">
        <f>1-C4</f>
        <v>0.9</v>
      </c>
      <c r="D5" s="5" t="s">
        <v>6</v>
      </c>
    </row>
    <row r="6" spans="1:12" x14ac:dyDescent="0.35">
      <c r="B6" s="3" t="s">
        <v>7</v>
      </c>
      <c r="C6" s="6">
        <v>0.05</v>
      </c>
    </row>
    <row r="7" spans="1:12" x14ac:dyDescent="0.35">
      <c r="B7" s="3" t="s">
        <v>8</v>
      </c>
      <c r="C7" s="6">
        <v>0.8</v>
      </c>
    </row>
    <row r="8" spans="1:12" x14ac:dyDescent="0.35">
      <c r="B8" s="3" t="s">
        <v>9</v>
      </c>
      <c r="C8" s="8">
        <v>4.5999999999999999E-3</v>
      </c>
      <c r="D8" s="5" t="s">
        <v>10</v>
      </c>
    </row>
    <row r="10" spans="1:12" x14ac:dyDescent="0.35">
      <c r="A10" s="1"/>
      <c r="B10" s="2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B11" s="3" t="s">
        <v>12</v>
      </c>
      <c r="C11" s="9">
        <v>1.96</v>
      </c>
      <c r="D11" s="5" t="s">
        <v>13</v>
      </c>
    </row>
    <row r="12" spans="1:12" x14ac:dyDescent="0.35">
      <c r="B12" s="3" t="s">
        <v>14</v>
      </c>
      <c r="C12" s="9">
        <v>0.84160000000000001</v>
      </c>
      <c r="D12" s="5" t="s">
        <v>15</v>
      </c>
    </row>
    <row r="13" spans="1:12" ht="28" customHeight="1" x14ac:dyDescent="0.35">
      <c r="B13" s="20" t="s">
        <v>16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5" spans="1:12" x14ac:dyDescent="0.35">
      <c r="A15" s="1"/>
      <c r="B15" s="2" t="s">
        <v>17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B16" s="3" t="s">
        <v>18</v>
      </c>
      <c r="C16" s="10">
        <f>ROUND(C3*C4,0)</f>
        <v>5500</v>
      </c>
      <c r="D16" s="5" t="s">
        <v>19</v>
      </c>
    </row>
    <row r="17" spans="1:12" x14ac:dyDescent="0.35">
      <c r="B17" s="3" t="s">
        <v>20</v>
      </c>
      <c r="C17" s="10">
        <f>ROUND(C3*C5,0)</f>
        <v>49500</v>
      </c>
      <c r="D17" s="5" t="s">
        <v>21</v>
      </c>
    </row>
    <row r="18" spans="1:12" x14ac:dyDescent="0.35">
      <c r="B18" s="3" t="s">
        <v>22</v>
      </c>
      <c r="C18" s="7">
        <f>C4+C5</f>
        <v>1</v>
      </c>
      <c r="D18" s="5" t="s">
        <v>23</v>
      </c>
    </row>
    <row r="19" spans="1:12" x14ac:dyDescent="0.35">
      <c r="B19" s="3" t="s">
        <v>24</v>
      </c>
      <c r="C19" s="11">
        <f>ROUND((C11+C12)*SQRT(C8*(1-C8)*(1/C16+1/C17)),4)</f>
        <v>2.7000000000000001E-3</v>
      </c>
      <c r="D19" s="5" t="s">
        <v>25</v>
      </c>
    </row>
    <row r="21" spans="1:12" x14ac:dyDescent="0.35">
      <c r="A21" s="1"/>
      <c r="B21" s="2" t="s">
        <v>26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9" x14ac:dyDescent="0.35">
      <c r="A22" s="12" t="s">
        <v>27</v>
      </c>
      <c r="B22" s="12" t="s">
        <v>28</v>
      </c>
      <c r="C22" s="12" t="s">
        <v>29</v>
      </c>
      <c r="D22" s="12" t="s">
        <v>30</v>
      </c>
      <c r="E22" s="12" t="s">
        <v>31</v>
      </c>
      <c r="F22" s="12" t="s">
        <v>32</v>
      </c>
      <c r="G22" s="12" t="s">
        <v>33</v>
      </c>
      <c r="H22" s="12" t="s">
        <v>34</v>
      </c>
      <c r="I22" s="12" t="s">
        <v>35</v>
      </c>
      <c r="J22" s="12" t="s">
        <v>36</v>
      </c>
      <c r="K22" s="12"/>
      <c r="L22" s="12"/>
    </row>
    <row r="23" spans="1:12" ht="29" x14ac:dyDescent="0.35">
      <c r="A23" s="13">
        <v>1</v>
      </c>
      <c r="B23" s="13" t="s">
        <v>37</v>
      </c>
      <c r="C23" s="14">
        <f>$C$3</f>
        <v>55000</v>
      </c>
      <c r="D23" s="15">
        <v>0.1</v>
      </c>
      <c r="E23" s="14">
        <f>ROUND($C$3*D23,0)</f>
        <v>5500</v>
      </c>
      <c r="F23" s="14">
        <f>ROUND($C$3*(1-D23),0)</f>
        <v>49500</v>
      </c>
      <c r="G23" s="16">
        <f>$C$8</f>
        <v>4.5999999999999999E-3</v>
      </c>
      <c r="H23" s="16">
        <f>ROUND(($C$11+$C$12)*SQRT($C$8*(1-$C$8)*(1/E23+1/F23)),4)</f>
        <v>2.7000000000000001E-3</v>
      </c>
      <c r="I23" s="16">
        <f>$C$8+H23</f>
        <v>7.3000000000000001E-3</v>
      </c>
      <c r="J23" s="17" t="str">
        <f>IF(H23&lt;=0.005,"Can detect &lt;0.5pp lift — GOOD","MDE &gt;0.5pp — needs more n")</f>
        <v>Can detect &lt;0.5pp lift — GOOD</v>
      </c>
    </row>
    <row r="24" spans="1:12" ht="29" x14ac:dyDescent="0.35">
      <c r="A24" s="13">
        <v>2</v>
      </c>
      <c r="B24" s="13" t="s">
        <v>38</v>
      </c>
      <c r="C24" s="14">
        <f>$C$3</f>
        <v>55000</v>
      </c>
      <c r="D24" s="15">
        <v>0.2</v>
      </c>
      <c r="E24" s="14">
        <f>ROUND($C$3*D24,0)</f>
        <v>11000</v>
      </c>
      <c r="F24" s="14">
        <f>ROUND($C$3*(1-D24),0)</f>
        <v>44000</v>
      </c>
      <c r="G24" s="16">
        <f>$C$8</f>
        <v>4.5999999999999999E-3</v>
      </c>
      <c r="H24" s="16">
        <f>ROUND(($C$11+$C$12)*SQRT($C$8*(1-$C$8)*(1/E24+1/F24)),4)</f>
        <v>2E-3</v>
      </c>
      <c r="I24" s="16">
        <f>$C$8+H24</f>
        <v>6.6E-3</v>
      </c>
      <c r="J24" s="17" t="str">
        <f>IF(H24&lt;=0.005,"Can detect &lt;0.5pp lift — GOOD","MDE &gt;0.5pp — needs more n")</f>
        <v>Can detect &lt;0.5pp lift — GOOD</v>
      </c>
    </row>
    <row r="25" spans="1:12" ht="29" x14ac:dyDescent="0.35">
      <c r="A25" s="13">
        <v>3</v>
      </c>
      <c r="B25" s="13" t="s">
        <v>39</v>
      </c>
      <c r="C25" s="14">
        <f>$C$3</f>
        <v>55000</v>
      </c>
      <c r="D25" s="15">
        <v>0.3</v>
      </c>
      <c r="E25" s="14">
        <f>ROUND($C$3*D25,0)</f>
        <v>16500</v>
      </c>
      <c r="F25" s="14">
        <f>ROUND($C$3*(1-D25),0)</f>
        <v>38500</v>
      </c>
      <c r="G25" s="16">
        <f>$C$8</f>
        <v>4.5999999999999999E-3</v>
      </c>
      <c r="H25" s="16">
        <f>ROUND(($C$11+$C$12)*SQRT($C$8*(1-$C$8)*(1/E25+1/F25)),4)</f>
        <v>1.8E-3</v>
      </c>
      <c r="I25" s="16">
        <f>$C$8+H25</f>
        <v>6.3999999999999994E-3</v>
      </c>
      <c r="J25" s="17" t="str">
        <f>IF(H25&lt;=0.005,"Can detect &lt;0.5pp lift — GOOD","MDE &gt;0.5pp — needs more n")</f>
        <v>Can detect &lt;0.5pp lift — GOOD</v>
      </c>
    </row>
    <row r="26" spans="1:12" ht="29" x14ac:dyDescent="0.35">
      <c r="A26" s="13">
        <v>4</v>
      </c>
      <c r="B26" s="13" t="s">
        <v>40</v>
      </c>
      <c r="C26" s="14">
        <f>$C$3</f>
        <v>55000</v>
      </c>
      <c r="D26" s="15">
        <v>0.5</v>
      </c>
      <c r="E26" s="14">
        <f>ROUND($C$3*D26,0)</f>
        <v>27500</v>
      </c>
      <c r="F26" s="14">
        <f>ROUND($C$3*(1-D26),0)</f>
        <v>27500</v>
      </c>
      <c r="G26" s="16">
        <f>$C$8</f>
        <v>4.5999999999999999E-3</v>
      </c>
      <c r="H26" s="16">
        <f>ROUND(($C$11+$C$12)*SQRT($C$8*(1-$C$8)*(1/E26+1/F26)),4)</f>
        <v>1.6000000000000001E-3</v>
      </c>
      <c r="I26" s="16">
        <f>$C$8+H26</f>
        <v>6.1999999999999998E-3</v>
      </c>
      <c r="J26" s="17" t="str">
        <f>IF(H26&lt;=0.005,"Can detect &lt;0.5pp lift — GOOD","MDE &gt;0.5pp — needs more n")</f>
        <v>Can detect &lt;0.5pp lift — GOOD</v>
      </c>
    </row>
    <row r="27" spans="1:12" ht="28" customHeight="1" x14ac:dyDescent="0.35">
      <c r="B27" s="20" t="s">
        <v>41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9" spans="1:12" x14ac:dyDescent="0.35">
      <c r="A29" s="1"/>
      <c r="B29" s="2" t="s">
        <v>42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9" x14ac:dyDescent="0.35">
      <c r="A30" s="12"/>
      <c r="B30" s="12" t="s">
        <v>28</v>
      </c>
      <c r="C30" s="12" t="s">
        <v>33</v>
      </c>
      <c r="D30" s="12" t="s">
        <v>29</v>
      </c>
      <c r="E30" s="12" t="s">
        <v>43</v>
      </c>
      <c r="F30" s="12" t="s">
        <v>44</v>
      </c>
      <c r="G30" s="12" t="s">
        <v>45</v>
      </c>
      <c r="H30" s="12" t="s">
        <v>46</v>
      </c>
      <c r="I30" s="12"/>
      <c r="J30" s="12"/>
      <c r="K30" s="12"/>
      <c r="L30" s="12"/>
    </row>
    <row r="31" spans="1:12" ht="32" customHeight="1" x14ac:dyDescent="0.35">
      <c r="B31" s="17" t="s">
        <v>47</v>
      </c>
      <c r="C31" s="18">
        <v>4.5999999999999999E-3</v>
      </c>
      <c r="D31" s="19">
        <v>55000</v>
      </c>
      <c r="E31" s="16">
        <f>ROUND(($C$11+$C$12)*SQRT(C31*(1-C31)*(1/ROUND(D31*0.1,0)+1/ROUND(D31*(1-0.1),0))),4)</f>
        <v>2.7000000000000001E-3</v>
      </c>
      <c r="F31" s="16">
        <f>ROUND(($C$11+$C$12)*SQRT(C31*(1-C31)*(1/ROUND(D31*0.2,0)+1/ROUND(D31*(1-0.2),0))),4)</f>
        <v>2E-3</v>
      </c>
      <c r="G31" s="16">
        <f>ROUND(($C$11+$C$12)*SQRT(C31*(1-C31)*(1/ROUND(D31*0.5,0)+1/ROUND(D31*(1-0.5),0))),4)</f>
        <v>1.6000000000000001E-3</v>
      </c>
      <c r="H31" s="17" t="str">
        <f>IF(E31&lt;=0.005,"&lt;0.5pp at 10% ctrl — GOOD","MDE &gt;0.5pp at 10% ctrl")</f>
        <v>&lt;0.5pp at 10% ctrl — GOOD</v>
      </c>
    </row>
    <row r="32" spans="1:12" ht="32" customHeight="1" x14ac:dyDescent="0.35">
      <c r="B32" s="17" t="s">
        <v>48</v>
      </c>
      <c r="C32" s="18">
        <v>3.8E-3</v>
      </c>
      <c r="D32" s="19">
        <v>99000</v>
      </c>
      <c r="E32" s="16">
        <f>ROUND(($C$11+$C$12)*SQRT(C32*(1-C32)*(1/ROUND(D32*0.1,0)+1/ROUND(D32*(1-0.1),0))),4)</f>
        <v>1.8E-3</v>
      </c>
      <c r="F32" s="16">
        <f>ROUND(($C$11+$C$12)*SQRT(C32*(1-C32)*(1/ROUND(D32*0.2,0)+1/ROUND(D32*(1-0.2),0))),4)</f>
        <v>1.4E-3</v>
      </c>
      <c r="G32" s="16">
        <f>ROUND(($C$11+$C$12)*SQRT(C32*(1-C32)*(1/ROUND(D32*0.5,0)+1/ROUND(D32*(1-0.5),0))),4)</f>
        <v>1.1000000000000001E-3</v>
      </c>
      <c r="H32" s="17" t="str">
        <f>IF(E32&lt;=0.005,"&lt;0.5pp at 10% ctrl — GOOD","MDE &gt;0.5pp at 10% ctrl")</f>
        <v>&lt;0.5pp at 10% ctrl — GOOD</v>
      </c>
    </row>
    <row r="33" spans="1:12" ht="32" customHeight="1" x14ac:dyDescent="0.35">
      <c r="B33" s="17" t="s">
        <v>49</v>
      </c>
      <c r="C33" s="18">
        <v>4.5999999999999999E-3</v>
      </c>
      <c r="D33" s="19">
        <v>120000</v>
      </c>
      <c r="E33" s="16">
        <f>ROUND(($C$11+$C$12)*SQRT(C33*(1-C33)*(1/ROUND(D33*0.1,0)+1/ROUND(D33*(1-0.1),0))),4)</f>
        <v>1.8E-3</v>
      </c>
      <c r="F33" s="16">
        <f>ROUND(($C$11+$C$12)*SQRT(C33*(1-C33)*(1/ROUND(D33*0.2,0)+1/ROUND(D33*(1-0.2),0))),4)</f>
        <v>1.4E-3</v>
      </c>
      <c r="G33" s="16">
        <f>ROUND(($C$11+$C$12)*SQRT(C33*(1-C33)*(1/ROUND(D33*0.5,0)+1/ROUND(D33*(1-0.5),0))),4)</f>
        <v>1.1000000000000001E-3</v>
      </c>
      <c r="H33" s="17" t="str">
        <f>IF(E33&lt;=0.005,"&lt;0.5pp at 10% ctrl — GOOD","MDE &gt;0.5pp at 10% ctrl")</f>
        <v>&lt;0.5pp at 10% ctrl — GOOD</v>
      </c>
    </row>
    <row r="35" spans="1:12" x14ac:dyDescent="0.35">
      <c r="A35" s="1"/>
      <c r="B35" s="2" t="s">
        <v>50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2" customHeight="1" x14ac:dyDescent="0.35">
      <c r="B36" s="20" t="s">
        <v>51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x14ac:dyDescent="0.35">
      <c r="A37" s="12"/>
      <c r="B37" s="12" t="s">
        <v>52</v>
      </c>
      <c r="C37" s="12" t="s">
        <v>53</v>
      </c>
      <c r="D37" s="12" t="s">
        <v>54</v>
      </c>
      <c r="E37" s="12" t="s">
        <v>55</v>
      </c>
      <c r="F37" s="12" t="s">
        <v>56</v>
      </c>
      <c r="G37" s="12" t="s">
        <v>57</v>
      </c>
      <c r="H37" s="12" t="s">
        <v>58</v>
      </c>
      <c r="I37" s="12"/>
      <c r="J37" s="12"/>
      <c r="K37" s="12"/>
      <c r="L37" s="12"/>
    </row>
    <row r="38" spans="1:12" x14ac:dyDescent="0.35">
      <c r="B38" s="13" t="s">
        <v>59</v>
      </c>
      <c r="C38" s="14">
        <f>ROUNDUP(($C$11+$C$12)^2*$C$8*(1-$C$8)*(1/0.1+1/0.9)/0.003^2,0)</f>
        <v>44370</v>
      </c>
      <c r="D38" s="14">
        <f>ROUND(0.1*C38,0)</f>
        <v>4437</v>
      </c>
      <c r="E38" s="14">
        <f>ROUNDUP(($C$11+$C$12)^2*$C$8*(1-$C$8)*(1/0.2+1/0.8)/0.003^2,0)</f>
        <v>24958</v>
      </c>
      <c r="F38" s="14">
        <f>ROUND(0.2*E38,0)</f>
        <v>4992</v>
      </c>
      <c r="G38" s="14">
        <f>ROUNDUP(($C$11+$C$12)^2*$C$8*(1-$C$8)*(1/0.5+1/0.5)/0.003^2,0)</f>
        <v>15973</v>
      </c>
      <c r="H38" s="14">
        <f>ROUND(0.5*G38,0)</f>
        <v>7987</v>
      </c>
    </row>
    <row r="39" spans="1:12" x14ac:dyDescent="0.35">
      <c r="B39" s="13" t="s">
        <v>60</v>
      </c>
      <c r="C39" s="14">
        <f>ROUNDUP(($C$11+$C$12)^2*$C$8*(1-$C$8)*(1/0.1+1/0.9)/0.005^2,0)</f>
        <v>15973</v>
      </c>
      <c r="D39" s="14">
        <f>ROUND(0.1*C39,0)</f>
        <v>1597</v>
      </c>
      <c r="E39" s="14">
        <f>ROUNDUP(($C$11+$C$12)^2*$C$8*(1-$C$8)*(1/0.2+1/0.8)/0.005^2,0)</f>
        <v>8985</v>
      </c>
      <c r="F39" s="14">
        <f>ROUND(0.2*E39,0)</f>
        <v>1797</v>
      </c>
      <c r="G39" s="14">
        <f>ROUNDUP(($C$11+$C$12)^2*$C$8*(1-$C$8)*(1/0.5+1/0.5)/0.005^2,0)</f>
        <v>5751</v>
      </c>
      <c r="H39" s="14">
        <f>ROUND(0.5*G39,0)</f>
        <v>2876</v>
      </c>
    </row>
    <row r="40" spans="1:12" x14ac:dyDescent="0.35">
      <c r="B40" s="13" t="s">
        <v>61</v>
      </c>
      <c r="C40" s="14">
        <f>ROUNDUP(($C$11+$C$12)^2*$C$8*(1-$C$8)*(1/0.1+1/0.9)/0.008^2,0)</f>
        <v>6240</v>
      </c>
      <c r="D40" s="14">
        <f>ROUND(0.1*C40,0)</f>
        <v>624</v>
      </c>
      <c r="E40" s="14">
        <f>ROUNDUP(($C$11+$C$12)^2*$C$8*(1-$C$8)*(1/0.2+1/0.8)/0.008^2,0)</f>
        <v>3510</v>
      </c>
      <c r="F40" s="14">
        <f>ROUND(0.2*E40,0)</f>
        <v>702</v>
      </c>
      <c r="G40" s="14">
        <f>ROUNDUP(($C$11+$C$12)^2*$C$8*(1-$C$8)*(1/0.5+1/0.5)/0.008^2,0)</f>
        <v>2247</v>
      </c>
      <c r="H40" s="14">
        <f>ROUND(0.5*G40,0)</f>
        <v>1124</v>
      </c>
    </row>
    <row r="42" spans="1:12" x14ac:dyDescent="0.35">
      <c r="A42" s="1"/>
      <c r="B42" s="2" t="s">
        <v>62</v>
      </c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36" customHeight="1" x14ac:dyDescent="0.35">
      <c r="B43" s="3" t="s">
        <v>63</v>
      </c>
      <c r="C43" s="22" t="s">
        <v>64</v>
      </c>
      <c r="D43" s="21"/>
      <c r="E43" s="21"/>
      <c r="F43" s="21"/>
      <c r="G43" s="21"/>
      <c r="H43" s="21"/>
      <c r="I43" s="21"/>
      <c r="J43" s="21"/>
      <c r="K43" s="21"/>
      <c r="L43" s="21"/>
    </row>
    <row r="44" spans="1:12" ht="36" customHeight="1" x14ac:dyDescent="0.35">
      <c r="B44" s="3" t="s">
        <v>65</v>
      </c>
      <c r="C44" s="22" t="s">
        <v>66</v>
      </c>
      <c r="D44" s="21"/>
      <c r="E44" s="21"/>
      <c r="F44" s="21"/>
      <c r="G44" s="21"/>
      <c r="H44" s="21"/>
      <c r="I44" s="21"/>
      <c r="J44" s="21"/>
      <c r="K44" s="21"/>
      <c r="L44" s="21"/>
    </row>
    <row r="45" spans="1:12" ht="36" customHeight="1" x14ac:dyDescent="0.35">
      <c r="B45" s="3" t="s">
        <v>67</v>
      </c>
      <c r="C45" s="22" t="s">
        <v>68</v>
      </c>
      <c r="D45" s="21"/>
      <c r="E45" s="21"/>
      <c r="F45" s="21"/>
      <c r="G45" s="21"/>
      <c r="H45" s="21"/>
      <c r="I45" s="21"/>
      <c r="J45" s="21"/>
      <c r="K45" s="21"/>
      <c r="L45" s="21"/>
    </row>
    <row r="46" spans="1:12" ht="36" customHeight="1" x14ac:dyDescent="0.35">
      <c r="B46" s="3" t="s">
        <v>69</v>
      </c>
      <c r="C46" s="22" t="s">
        <v>70</v>
      </c>
      <c r="D46" s="21"/>
      <c r="E46" s="21"/>
      <c r="F46" s="21"/>
      <c r="G46" s="21"/>
      <c r="H46" s="21"/>
      <c r="I46" s="21"/>
      <c r="J46" s="21"/>
      <c r="K46" s="21"/>
      <c r="L46" s="21"/>
    </row>
    <row r="47" spans="1:12" ht="36" customHeight="1" x14ac:dyDescent="0.35">
      <c r="B47" s="3" t="s">
        <v>71</v>
      </c>
      <c r="C47" s="22" t="s">
        <v>72</v>
      </c>
      <c r="D47" s="21"/>
      <c r="E47" s="21"/>
      <c r="F47" s="21"/>
      <c r="G47" s="21"/>
      <c r="H47" s="21"/>
      <c r="I47" s="21"/>
      <c r="J47" s="21"/>
      <c r="K47" s="21"/>
      <c r="L47" s="21"/>
    </row>
    <row r="48" spans="1:12" ht="36" customHeight="1" x14ac:dyDescent="0.35">
      <c r="B48" s="3" t="s">
        <v>73</v>
      </c>
      <c r="C48" s="22" t="s">
        <v>74</v>
      </c>
      <c r="D48" s="21"/>
      <c r="E48" s="21"/>
      <c r="F48" s="21"/>
      <c r="G48" s="21"/>
      <c r="H48" s="21"/>
      <c r="I48" s="21"/>
      <c r="J48" s="21"/>
      <c r="K48" s="21"/>
      <c r="L48" s="21"/>
    </row>
    <row r="49" spans="2:12" ht="36" customHeight="1" x14ac:dyDescent="0.35">
      <c r="B49" s="3" t="s">
        <v>75</v>
      </c>
      <c r="C49" s="22" t="s">
        <v>76</v>
      </c>
      <c r="D49" s="21"/>
      <c r="E49" s="21"/>
      <c r="F49" s="21"/>
      <c r="G49" s="21"/>
      <c r="H49" s="21"/>
      <c r="I49" s="21"/>
      <c r="J49" s="21"/>
      <c r="K49" s="21"/>
      <c r="L49" s="21"/>
    </row>
    <row r="50" spans="2:12" ht="36" customHeight="1" x14ac:dyDescent="0.35">
      <c r="B50" s="3" t="s">
        <v>77</v>
      </c>
      <c r="C50" s="22" t="s">
        <v>78</v>
      </c>
      <c r="D50" s="21"/>
      <c r="E50" s="21"/>
      <c r="F50" s="21"/>
      <c r="G50" s="21"/>
      <c r="H50" s="21"/>
      <c r="I50" s="21"/>
      <c r="J50" s="21"/>
      <c r="K50" s="21"/>
      <c r="L50" s="21"/>
    </row>
  </sheetData>
  <mergeCells count="11">
    <mergeCell ref="B13:L13"/>
    <mergeCell ref="C45:L45"/>
    <mergeCell ref="C50:L50"/>
    <mergeCell ref="C49:L49"/>
    <mergeCell ref="C48:L48"/>
    <mergeCell ref="C43:L43"/>
    <mergeCell ref="B36:L36"/>
    <mergeCell ref="C46:L46"/>
    <mergeCell ref="C47:L47"/>
    <mergeCell ref="B27:L27"/>
    <mergeCell ref="C44:L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PCQ DM MDE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AVS</cp:lastModifiedBy>
  <dcterms:created xsi:type="dcterms:W3CDTF">2026-03-25T17:50:29Z</dcterms:created>
  <dcterms:modified xsi:type="dcterms:W3CDTF">2026-03-26T00:23:00Z</dcterms:modified>
</cp:coreProperties>
</file>