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andre\New_projects\cards\campaigns\PCQ\"/>
    </mc:Choice>
  </mc:AlternateContent>
  <xr:revisionPtr revIDLastSave="0" documentId="13_ncr:1_{5F36F4CF-8CBB-4BBE-8D68-94CA88D0079C}" xr6:coauthVersionLast="47" xr6:coauthVersionMax="47" xr10:uidLastSave="{00000000-0000-0000-0000-000000000000}"/>
  <bookViews>
    <workbookView xWindow="-110" yWindow="-110" windowWidth="22620" windowHeight="14220" xr2:uid="{00000000-000D-0000-FFFF-FFFF00000000}"/>
  </bookViews>
  <sheets>
    <sheet name="MD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0" i="1" l="1"/>
  <c r="B68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C36" i="1"/>
  <c r="B36" i="1"/>
  <c r="F36" i="1" s="1"/>
  <c r="D35" i="1"/>
  <c r="E35" i="1" s="1"/>
  <c r="C35" i="1"/>
  <c r="B35" i="1"/>
  <c r="F35" i="1" s="1"/>
  <c r="C34" i="1"/>
  <c r="B34" i="1"/>
  <c r="F34" i="1" s="1"/>
  <c r="C33" i="1"/>
  <c r="B33" i="1"/>
  <c r="F33" i="1" s="1"/>
  <c r="C32" i="1"/>
  <c r="B32" i="1"/>
  <c r="D32" i="1" s="1"/>
  <c r="E32" i="1" s="1"/>
  <c r="F31" i="1"/>
  <c r="D31" i="1"/>
  <c r="E31" i="1" s="1"/>
  <c r="C31" i="1"/>
  <c r="B31" i="1"/>
  <c r="F30" i="1"/>
  <c r="C30" i="1"/>
  <c r="D30" i="1" s="1"/>
  <c r="E30" i="1" s="1"/>
  <c r="B30" i="1"/>
  <c r="H16" i="1"/>
  <c r="K16" i="1" s="1"/>
  <c r="G16" i="1"/>
  <c r="F16" i="1"/>
  <c r="G15" i="1"/>
  <c r="H15" i="1" s="1"/>
  <c r="F15" i="1"/>
  <c r="G14" i="1"/>
  <c r="F14" i="1"/>
  <c r="H14" i="1" s="1"/>
  <c r="G13" i="1"/>
  <c r="F13" i="1"/>
  <c r="H13" i="1" s="1"/>
  <c r="G12" i="1"/>
  <c r="F12" i="1"/>
  <c r="H12" i="1" s="1"/>
  <c r="G11" i="1"/>
  <c r="F11" i="1"/>
  <c r="H11" i="1" s="1"/>
  <c r="B7" i="1"/>
  <c r="K15" i="1" l="1"/>
  <c r="I15" i="1"/>
  <c r="K12" i="1"/>
  <c r="I12" i="1"/>
  <c r="K13" i="1"/>
  <c r="I13" i="1"/>
  <c r="I14" i="1"/>
  <c r="K14" i="1"/>
  <c r="K11" i="1"/>
  <c r="I11" i="1"/>
  <c r="D68" i="1"/>
  <c r="C68" i="1"/>
  <c r="B65" i="1"/>
  <c r="F32" i="1"/>
  <c r="B62" i="1"/>
  <c r="B66" i="1"/>
  <c r="D33" i="1"/>
  <c r="E33" i="1" s="1"/>
  <c r="B63" i="1"/>
  <c r="B67" i="1"/>
  <c r="D36" i="1"/>
  <c r="E36" i="1" s="1"/>
  <c r="I16" i="1"/>
  <c r="D34" i="1"/>
  <c r="E34" i="1" s="1"/>
  <c r="B64" i="1"/>
  <c r="D64" i="1" l="1"/>
  <c r="C64" i="1"/>
  <c r="D67" i="1"/>
  <c r="C67" i="1"/>
  <c r="D63" i="1"/>
  <c r="C63" i="1"/>
  <c r="D66" i="1"/>
  <c r="C66" i="1"/>
  <c r="D62" i="1"/>
  <c r="C62" i="1"/>
  <c r="D65" i="1"/>
  <c r="C65" i="1"/>
</calcChain>
</file>

<file path=xl/sharedStrings.xml><?xml version="1.0" encoding="utf-8"?>
<sst xmlns="http://schemas.openxmlformats.org/spreadsheetml/2006/main" count="92" uniqueCount="81">
  <si>
    <t>SECTION 1 — Statistical Parameters</t>
  </si>
  <si>
    <t>Parameter</t>
  </si>
  <si>
    <t>Value</t>
  </si>
  <si>
    <t>Note</t>
  </si>
  <si>
    <t>Confidence level (1-alpha)</t>
  </si>
  <si>
    <t>Test type</t>
  </si>
  <si>
    <t>Two-sided</t>
  </si>
  <si>
    <t>Two-sided: Za=1.96. Change to 1.6449 for one-sided</t>
  </si>
  <si>
    <t>Za (critical value, significance)</t>
  </si>
  <si>
    <t>Zb (critical value, power)</t>
  </si>
  <si>
    <t>For 80% power</t>
  </si>
  <si>
    <t>Combined (Za + Zb)</t>
  </si>
  <si>
    <t>SECTION 2 — Scenario Inputs  (green = editable)</t>
  </si>
  <si>
    <t>Scenario</t>
  </si>
  <si>
    <t>Deciles Included</t>
  </si>
  <si>
    <t>Total Population</t>
  </si>
  <si>
    <t>Baseline Rate
(Period-ASC)</t>
  </si>
  <si>
    <t>Control %</t>
  </si>
  <si>
    <t>n_Control</t>
  </si>
  <si>
    <t>n_Test</t>
  </si>
  <si>
    <t>MDE (pp)</t>
  </si>
  <si>
    <t>Detectable
Test Rate</t>
  </si>
  <si>
    <t>Min Lift
to Act</t>
  </si>
  <si>
    <t>Powered for
Min Lift?</t>
  </si>
  <si>
    <t>A: 7th only</t>
  </si>
  <si>
    <t>7</t>
  </si>
  <si>
    <t>B: 7th + 8th</t>
  </si>
  <si>
    <t>7-8</t>
  </si>
  <si>
    <t>C: 7th-9th</t>
  </si>
  <si>
    <t>7-9</t>
  </si>
  <si>
    <t>D: 120K budget (7th-9th)</t>
  </si>
  <si>
    <t>E: All deciles (7-10)</t>
  </si>
  <si>
    <t>7-10</t>
  </si>
  <si>
    <t>F: Custom</t>
  </si>
  <si>
    <t>—</t>
  </si>
  <si>
    <t>SECTION 3 — Control Split Sensitivity  (Scenario A: 7th decile, pop &amp; baseline from Section 2)</t>
  </si>
  <si>
    <t>Detectable Rate</t>
  </si>
  <si>
    <t>Revenue Impact Note</t>
  </si>
  <si>
    <t>SECTION 4 — Baseline Sensitivity  (fixed pop=120,000 | control=20%)</t>
  </si>
  <si>
    <t>Baseline Rate</t>
  </si>
  <si>
    <t>Notes</t>
  </si>
  <si>
    <t>Below observed 7th-decile range</t>
  </si>
  <si>
    <t>~7th-9th decile blended</t>
  </si>
  <si>
    <t>7th decile (Jan 2026)</t>
  </si>
  <si>
    <t>Top deciles only</t>
  </si>
  <si>
    <t>SECTION 5 — Minimum Sample Size  (How many clients do we need to detect a given lift?)</t>
  </si>
  <si>
    <t>Control % (editable):</t>
  </si>
  <si>
    <t>Baseline (from Scenario A, D11):</t>
  </si>
  <si>
    <t>Target Lift (pp)</t>
  </si>
  <si>
    <t>Min N Total</t>
  </si>
  <si>
    <t>Min n_Control</t>
  </si>
  <si>
    <t>Min n_Test</t>
  </si>
  <si>
    <t>SECTION 6 — Reference Data: Jan 2026 Deployment (2026010PCQ) — Decile Breakdown</t>
  </si>
  <si>
    <t>Decile</t>
  </si>
  <si>
    <t>Total Clients</t>
  </si>
  <si>
    <t>DM Targeted</t>
  </si>
  <si>
    <t>DM Coverage</t>
  </si>
  <si>
    <t>Approved All</t>
  </si>
  <si>
    <t>Rate All</t>
  </si>
  <si>
    <t>Approved Period-ASC</t>
  </si>
  <si>
    <t>Rate Period-ASC</t>
  </si>
  <si>
    <t>1</t>
  </si>
  <si>
    <t>2</t>
  </si>
  <si>
    <t>3</t>
  </si>
  <si>
    <t>4</t>
  </si>
  <si>
    <t>5</t>
  </si>
  <si>
    <t>6</t>
  </si>
  <si>
    <t>8</t>
  </si>
  <si>
    <t>9</t>
  </si>
  <si>
    <t>10</t>
  </si>
  <si>
    <t>1-6</t>
  </si>
  <si>
    <t>TOTAL</t>
  </si>
  <si>
    <t>SECTION 7 — Notes &amp; Assumptions</t>
  </si>
  <si>
    <t>1. Period-ASC filter required for true campaign-attributed conversions (per Daniel Chin, March 26, 2026).</t>
  </si>
  <si>
    <t>2. Baseline rates are from 2026010PCQ (Jan 2026 deployment, most mature ~90 day window).</t>
  </si>
  <si>
    <t>3. 7th decile is NOT currently targeted for DM — volume there is leakage (~6% coverage).</t>
  </si>
  <si>
    <t>4. DM is an awareness channel — clients apply via Online/Mobile/Branch, not directly via DM.</t>
  </si>
  <si>
    <t>5. Clients without DM may be Not Eligible (not opt-outs) — invalid as a no-DM comparison group.</t>
  </si>
  <si>
    <t>6. Green cells are editable — change them to explore scenarios.</t>
  </si>
  <si>
    <t>7. MDE = minimum detectable effect. If the true DM lift is smaller than MDE, the test won't detect it.</t>
  </si>
  <si>
    <t>8. Two-sided test: detects both improvement and degradation. Change Za to 1.6449 for one-sided.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</si>
</sst>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i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0" fontId="3" fillId="4" borderId="1" xfId="0" applyFont="1" applyFill="1" applyBorder="1"/>
    <xf numFmtId="4" fontId="0" fillId="0" borderId="1" xfId="0" applyNumberFormat="1" applyBorder="1"/>
    <xf numFmtId="3" fontId="0" fillId="5" borderId="1" xfId="0" applyNumberFormat="1" applyFill="1" applyBorder="1"/>
    <xf numFmtId="164" fontId="0" fillId="5" borderId="1" xfId="0" applyNumberFormat="1" applyFill="1" applyBorder="1"/>
    <xf numFmtId="10" fontId="0" fillId="5" borderId="1" xfId="0" applyNumberFormat="1" applyFill="1" applyBorder="1"/>
    <xf numFmtId="3" fontId="0" fillId="0" borderId="1" xfId="0" applyNumberFormat="1" applyBorder="1"/>
    <xf numFmtId="164" fontId="0" fillId="0" borderId="1" xfId="0" applyNumberFormat="1" applyBorder="1"/>
    <xf numFmtId="0" fontId="0" fillId="0" borderId="1" xfId="0" applyBorder="1"/>
    <xf numFmtId="164" fontId="0" fillId="4" borderId="1" xfId="0" applyNumberFormat="1" applyFill="1" applyBorder="1"/>
    <xf numFmtId="3" fontId="0" fillId="4" borderId="1" xfId="0" applyNumberFormat="1" applyFill="1" applyBorder="1"/>
    <xf numFmtId="10" fontId="0" fillId="4" borderId="1" xfId="0" applyNumberFormat="1" applyFill="1" applyBorder="1"/>
    <xf numFmtId="0" fontId="0" fillId="4" borderId="1" xfId="0" applyFill="1" applyBorder="1" applyAlignment="1">
      <alignment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"/>
  <sheetViews>
    <sheetView tabSelected="1" workbookViewId="0">
      <pane ySplit="2" topLeftCell="A3" activePane="bottomLeft" state="frozen"/>
      <selection pane="bottomLeft" sqref="A1:C1"/>
    </sheetView>
  </sheetViews>
  <sheetFormatPr defaultRowHeight="14.5" x14ac:dyDescent="0.35"/>
  <cols>
    <col min="1" max="1" width="38" customWidth="1"/>
    <col min="2" max="3" width="16" customWidth="1"/>
    <col min="4" max="4" width="18" customWidth="1"/>
    <col min="5" max="5" width="12" customWidth="1"/>
    <col min="6" max="8" width="14" customWidth="1"/>
    <col min="9" max="9" width="16" customWidth="1"/>
    <col min="10" max="10" width="14" customWidth="1"/>
    <col min="11" max="11" width="22" customWidth="1"/>
  </cols>
  <sheetData>
    <row r="1" spans="1:11" ht="22" customHeight="1" x14ac:dyDescent="0.35">
      <c r="A1" s="18" t="s">
        <v>0</v>
      </c>
      <c r="B1" s="16"/>
      <c r="C1" s="17"/>
    </row>
    <row r="2" spans="1:11" ht="38" customHeight="1" x14ac:dyDescent="0.35">
      <c r="A2" s="1" t="s">
        <v>1</v>
      </c>
      <c r="B2" s="1" t="s">
        <v>2</v>
      </c>
      <c r="C2" s="1" t="s">
        <v>3</v>
      </c>
    </row>
    <row r="3" spans="1:11" x14ac:dyDescent="0.35">
      <c r="A3" s="2" t="s">
        <v>4</v>
      </c>
      <c r="B3" s="3">
        <v>0.95</v>
      </c>
    </row>
    <row r="4" spans="1:11" x14ac:dyDescent="0.35">
      <c r="A4" s="2" t="s">
        <v>5</v>
      </c>
      <c r="B4" s="3" t="s">
        <v>6</v>
      </c>
      <c r="C4" s="4" t="s">
        <v>7</v>
      </c>
    </row>
    <row r="5" spans="1:11" x14ac:dyDescent="0.35">
      <c r="A5" s="2" t="s">
        <v>8</v>
      </c>
      <c r="B5" s="3">
        <v>1.96</v>
      </c>
    </row>
    <row r="6" spans="1:11" x14ac:dyDescent="0.35">
      <c r="A6" s="2" t="s">
        <v>9</v>
      </c>
      <c r="B6" s="3">
        <v>0.84160000000000001</v>
      </c>
      <c r="C6" s="4" t="s">
        <v>10</v>
      </c>
    </row>
    <row r="7" spans="1:11" x14ac:dyDescent="0.35">
      <c r="A7" s="2" t="s">
        <v>11</v>
      </c>
      <c r="B7" s="5" t="e">
        <f>C5+C6</f>
        <v>#VALUE!</v>
      </c>
    </row>
    <row r="9" spans="1:11" ht="22" customHeight="1" x14ac:dyDescent="0.35">
      <c r="A9" s="18" t="s">
        <v>12</v>
      </c>
      <c r="B9" s="16"/>
      <c r="C9" s="16"/>
      <c r="D9" s="16"/>
      <c r="E9" s="16"/>
      <c r="F9" s="16"/>
      <c r="G9" s="16"/>
      <c r="H9" s="16"/>
      <c r="I9" s="16"/>
      <c r="J9" s="16"/>
      <c r="K9" s="17"/>
    </row>
    <row r="10" spans="1:11" ht="38" customHeight="1" x14ac:dyDescent="0.35">
      <c r="A10" s="1" t="s">
        <v>13</v>
      </c>
      <c r="B10" s="1" t="s">
        <v>14</v>
      </c>
      <c r="C10" s="1" t="s">
        <v>15</v>
      </c>
      <c r="D10" s="1" t="s">
        <v>16</v>
      </c>
      <c r="E10" s="1" t="s">
        <v>17</v>
      </c>
      <c r="F10" s="1" t="s">
        <v>18</v>
      </c>
      <c r="G10" s="1" t="s">
        <v>19</v>
      </c>
      <c r="H10" s="1" t="s">
        <v>20</v>
      </c>
      <c r="I10" s="1" t="s">
        <v>21</v>
      </c>
      <c r="J10" s="1" t="s">
        <v>22</v>
      </c>
      <c r="K10" s="1" t="s">
        <v>23</v>
      </c>
    </row>
    <row r="11" spans="1:11" x14ac:dyDescent="0.35">
      <c r="A11" s="2" t="s">
        <v>24</v>
      </c>
      <c r="B11" s="2" t="s">
        <v>25</v>
      </c>
      <c r="C11" s="6">
        <v>55048</v>
      </c>
      <c r="D11" s="7">
        <v>3.0000000000000001E-3</v>
      </c>
      <c r="E11" s="8">
        <v>0.2</v>
      </c>
      <c r="F11" s="9">
        <f t="shared" ref="F11:F16" si="0">C11*E11</f>
        <v>11009.6</v>
      </c>
      <c r="G11" s="9">
        <f t="shared" ref="G11:G16" si="1">C11*(1-E11)</f>
        <v>44038.400000000001</v>
      </c>
      <c r="H11" s="10">
        <f t="shared" ref="H11:H16" si="2">ROUND($C$7*SQRT(D11*(1-D11)*(1/F11+1/G11)),6)</f>
        <v>0</v>
      </c>
      <c r="I11" s="10">
        <f t="shared" ref="I11:I16" si="3">D11+H11</f>
        <v>3.0000000000000001E-3</v>
      </c>
      <c r="J11" s="8">
        <v>5.0000000000000001E-3</v>
      </c>
      <c r="K11" s="11" t="str">
        <f t="shared" ref="K11:K16" si="4">IF(H11&lt;=J11,"YES","NO — MDE too large")</f>
        <v>YES</v>
      </c>
    </row>
    <row r="12" spans="1:11" x14ac:dyDescent="0.35">
      <c r="A12" s="2" t="s">
        <v>26</v>
      </c>
      <c r="B12" s="2" t="s">
        <v>27</v>
      </c>
      <c r="C12" s="6">
        <v>98838</v>
      </c>
      <c r="D12" s="7">
        <v>2.5000000000000001E-3</v>
      </c>
      <c r="E12" s="8">
        <v>0.2</v>
      </c>
      <c r="F12" s="9">
        <f t="shared" si="0"/>
        <v>19767.600000000002</v>
      </c>
      <c r="G12" s="9">
        <f t="shared" si="1"/>
        <v>79070.400000000009</v>
      </c>
      <c r="H12" s="10">
        <f t="shared" si="2"/>
        <v>0</v>
      </c>
      <c r="I12" s="10">
        <f t="shared" si="3"/>
        <v>2.5000000000000001E-3</v>
      </c>
      <c r="J12" s="8">
        <v>5.0000000000000001E-3</v>
      </c>
      <c r="K12" s="11" t="str">
        <f t="shared" si="4"/>
        <v>YES</v>
      </c>
    </row>
    <row r="13" spans="1:11" x14ac:dyDescent="0.35">
      <c r="A13" s="2" t="s">
        <v>28</v>
      </c>
      <c r="B13" s="2" t="s">
        <v>29</v>
      </c>
      <c r="C13" s="6">
        <v>167054</v>
      </c>
      <c r="D13" s="7">
        <v>1.9E-3</v>
      </c>
      <c r="E13" s="8">
        <v>0.2</v>
      </c>
      <c r="F13" s="9">
        <f t="shared" si="0"/>
        <v>33410.800000000003</v>
      </c>
      <c r="G13" s="9">
        <f t="shared" si="1"/>
        <v>133643.20000000001</v>
      </c>
      <c r="H13" s="10">
        <f t="shared" si="2"/>
        <v>0</v>
      </c>
      <c r="I13" s="10">
        <f t="shared" si="3"/>
        <v>1.9E-3</v>
      </c>
      <c r="J13" s="8">
        <v>5.0000000000000001E-3</v>
      </c>
      <c r="K13" s="11" t="str">
        <f t="shared" si="4"/>
        <v>YES</v>
      </c>
    </row>
    <row r="14" spans="1:11" x14ac:dyDescent="0.35">
      <c r="A14" s="2" t="s">
        <v>30</v>
      </c>
      <c r="B14" s="2" t="s">
        <v>29</v>
      </c>
      <c r="C14" s="6">
        <v>120000</v>
      </c>
      <c r="D14" s="7">
        <v>1.9E-3</v>
      </c>
      <c r="E14" s="8">
        <v>0.2</v>
      </c>
      <c r="F14" s="9">
        <f t="shared" si="0"/>
        <v>24000</v>
      </c>
      <c r="G14" s="9">
        <f t="shared" si="1"/>
        <v>96000</v>
      </c>
      <c r="H14" s="10">
        <f t="shared" si="2"/>
        <v>0</v>
      </c>
      <c r="I14" s="10">
        <f t="shared" si="3"/>
        <v>1.9E-3</v>
      </c>
      <c r="J14" s="8">
        <v>5.0000000000000001E-3</v>
      </c>
      <c r="K14" s="11" t="str">
        <f t="shared" si="4"/>
        <v>YES</v>
      </c>
    </row>
    <row r="15" spans="1:11" x14ac:dyDescent="0.35">
      <c r="A15" s="2" t="s">
        <v>31</v>
      </c>
      <c r="B15" s="2" t="s">
        <v>32</v>
      </c>
      <c r="C15" s="6">
        <v>235642</v>
      </c>
      <c r="D15" s="7">
        <v>1.6000000000000001E-3</v>
      </c>
      <c r="E15" s="8">
        <v>0.2</v>
      </c>
      <c r="F15" s="9">
        <f t="shared" si="0"/>
        <v>47128.4</v>
      </c>
      <c r="G15" s="9">
        <f t="shared" si="1"/>
        <v>188513.6</v>
      </c>
      <c r="H15" s="10">
        <f t="shared" si="2"/>
        <v>0</v>
      </c>
      <c r="I15" s="10">
        <f t="shared" si="3"/>
        <v>1.6000000000000001E-3</v>
      </c>
      <c r="J15" s="8">
        <v>5.0000000000000001E-3</v>
      </c>
      <c r="K15" s="11" t="str">
        <f t="shared" si="4"/>
        <v>YES</v>
      </c>
    </row>
    <row r="16" spans="1:11" x14ac:dyDescent="0.35">
      <c r="A16" s="2" t="s">
        <v>33</v>
      </c>
      <c r="B16" s="2" t="s">
        <v>34</v>
      </c>
      <c r="C16" s="6">
        <v>120000</v>
      </c>
      <c r="D16" s="7">
        <v>3.0000000000000001E-3</v>
      </c>
      <c r="E16" s="8">
        <v>0.2</v>
      </c>
      <c r="F16" s="9">
        <f t="shared" si="0"/>
        <v>24000</v>
      </c>
      <c r="G16" s="9">
        <f t="shared" si="1"/>
        <v>96000</v>
      </c>
      <c r="H16" s="10">
        <f t="shared" si="2"/>
        <v>0</v>
      </c>
      <c r="I16" s="10">
        <f t="shared" si="3"/>
        <v>3.0000000000000001E-3</v>
      </c>
      <c r="J16" s="8">
        <v>5.0000000000000001E-3</v>
      </c>
      <c r="K16" s="11" t="str">
        <f t="shared" si="4"/>
        <v>YES</v>
      </c>
    </row>
    <row r="28" spans="1:6" ht="22" customHeight="1" x14ac:dyDescent="0.35">
      <c r="A28" s="18" t="s">
        <v>35</v>
      </c>
      <c r="B28" s="16"/>
      <c r="C28" s="16"/>
      <c r="D28" s="16"/>
      <c r="E28" s="16"/>
      <c r="F28" s="17"/>
    </row>
    <row r="29" spans="1:6" ht="38" customHeight="1" x14ac:dyDescent="0.35">
      <c r="A29" s="1" t="s">
        <v>17</v>
      </c>
      <c r="B29" s="1" t="s">
        <v>18</v>
      </c>
      <c r="C29" s="1" t="s">
        <v>19</v>
      </c>
      <c r="D29" s="1" t="s">
        <v>20</v>
      </c>
      <c r="E29" s="1" t="s">
        <v>36</v>
      </c>
      <c r="F29" s="1" t="s">
        <v>37</v>
      </c>
    </row>
    <row r="30" spans="1:6" x14ac:dyDescent="0.35">
      <c r="A30" s="8">
        <v>0.05</v>
      </c>
      <c r="B30" s="9">
        <f t="shared" ref="B30:B36" si="5">ROUND($C$11*A30,0)</f>
        <v>2752</v>
      </c>
      <c r="C30" s="9">
        <f t="shared" ref="C30:C36" si="6">ROUND($C$11*(1-A30),0)</f>
        <v>52296</v>
      </c>
      <c r="D30" s="10">
        <f t="shared" ref="D30:D36" si="7">ROUND($C$7*SQRT($D$11*(1-$D$11)*(1/B30+1/C30)),6)</f>
        <v>0</v>
      </c>
      <c r="E30" s="10">
        <f t="shared" ref="E30:E36" si="8">$D$11+D30</f>
        <v>3.0000000000000001E-3</v>
      </c>
      <c r="F30" s="11" t="str">
        <f t="shared" ref="F30:F36" si="9">TEXT(B30,"#,##0")&amp;" clients withheld from DM"</f>
        <v>2,752 clients withheld from DM</v>
      </c>
    </row>
    <row r="31" spans="1:6" x14ac:dyDescent="0.35">
      <c r="A31" s="8">
        <v>0.1</v>
      </c>
      <c r="B31" s="9">
        <f t="shared" si="5"/>
        <v>5505</v>
      </c>
      <c r="C31" s="9">
        <f t="shared" si="6"/>
        <v>49543</v>
      </c>
      <c r="D31" s="10">
        <f t="shared" si="7"/>
        <v>0</v>
      </c>
      <c r="E31" s="10">
        <f t="shared" si="8"/>
        <v>3.0000000000000001E-3</v>
      </c>
      <c r="F31" s="11" t="str">
        <f t="shared" si="9"/>
        <v>5,505 clients withheld from DM</v>
      </c>
    </row>
    <row r="32" spans="1:6" x14ac:dyDescent="0.35">
      <c r="A32" s="8">
        <v>0.15</v>
      </c>
      <c r="B32" s="9">
        <f t="shared" si="5"/>
        <v>8257</v>
      </c>
      <c r="C32" s="9">
        <f t="shared" si="6"/>
        <v>46791</v>
      </c>
      <c r="D32" s="10">
        <f t="shared" si="7"/>
        <v>0</v>
      </c>
      <c r="E32" s="10">
        <f t="shared" si="8"/>
        <v>3.0000000000000001E-3</v>
      </c>
      <c r="F32" s="11" t="str">
        <f t="shared" si="9"/>
        <v>8,257 clients withheld from DM</v>
      </c>
    </row>
    <row r="33" spans="1:6" x14ac:dyDescent="0.35">
      <c r="A33" s="8">
        <v>0.2</v>
      </c>
      <c r="B33" s="9">
        <f t="shared" si="5"/>
        <v>11010</v>
      </c>
      <c r="C33" s="9">
        <f t="shared" si="6"/>
        <v>44038</v>
      </c>
      <c r="D33" s="10">
        <f t="shared" si="7"/>
        <v>0</v>
      </c>
      <c r="E33" s="10">
        <f t="shared" si="8"/>
        <v>3.0000000000000001E-3</v>
      </c>
      <c r="F33" s="11" t="str">
        <f t="shared" si="9"/>
        <v>11,010 clients withheld from DM</v>
      </c>
    </row>
    <row r="34" spans="1:6" x14ac:dyDescent="0.35">
      <c r="A34" s="8">
        <v>0.25</v>
      </c>
      <c r="B34" s="9">
        <f t="shared" si="5"/>
        <v>13762</v>
      </c>
      <c r="C34" s="9">
        <f t="shared" si="6"/>
        <v>41286</v>
      </c>
      <c r="D34" s="10">
        <f t="shared" si="7"/>
        <v>0</v>
      </c>
      <c r="E34" s="10">
        <f t="shared" si="8"/>
        <v>3.0000000000000001E-3</v>
      </c>
      <c r="F34" s="11" t="str">
        <f t="shared" si="9"/>
        <v>13,762 clients withheld from DM</v>
      </c>
    </row>
    <row r="35" spans="1:6" x14ac:dyDescent="0.35">
      <c r="A35" s="8">
        <v>0.3</v>
      </c>
      <c r="B35" s="9">
        <f t="shared" si="5"/>
        <v>16514</v>
      </c>
      <c r="C35" s="9">
        <f t="shared" si="6"/>
        <v>38534</v>
      </c>
      <c r="D35" s="10">
        <f t="shared" si="7"/>
        <v>0</v>
      </c>
      <c r="E35" s="10">
        <f t="shared" si="8"/>
        <v>3.0000000000000001E-3</v>
      </c>
      <c r="F35" s="11" t="str">
        <f t="shared" si="9"/>
        <v>16,514 clients withheld from DM</v>
      </c>
    </row>
    <row r="36" spans="1:6" x14ac:dyDescent="0.35">
      <c r="A36" s="8">
        <v>0.5</v>
      </c>
      <c r="B36" s="9">
        <f t="shared" si="5"/>
        <v>27524</v>
      </c>
      <c r="C36" s="9">
        <f t="shared" si="6"/>
        <v>27524</v>
      </c>
      <c r="D36" s="10">
        <f t="shared" si="7"/>
        <v>0</v>
      </c>
      <c r="E36" s="10">
        <f t="shared" si="8"/>
        <v>3.0000000000000001E-3</v>
      </c>
      <c r="F36" s="11" t="str">
        <f t="shared" si="9"/>
        <v>27,524 clients withheld from DM</v>
      </c>
    </row>
    <row r="43" spans="1:6" ht="22" customHeight="1" x14ac:dyDescent="0.35">
      <c r="A43" s="18" t="s">
        <v>38</v>
      </c>
      <c r="B43" s="16"/>
      <c r="C43" s="16"/>
      <c r="D43" s="17"/>
    </row>
    <row r="44" spans="1:6" ht="38" customHeight="1" x14ac:dyDescent="0.35">
      <c r="A44" s="1" t="s">
        <v>39</v>
      </c>
      <c r="B44" s="1" t="s">
        <v>20</v>
      </c>
      <c r="C44" s="1" t="s">
        <v>36</v>
      </c>
      <c r="D44" s="1" t="s">
        <v>40</v>
      </c>
    </row>
    <row r="45" spans="1:6" x14ac:dyDescent="0.35">
      <c r="A45" s="7">
        <v>1E-3</v>
      </c>
      <c r="B45" s="10">
        <f t="shared" ref="B45:B52" si="10">ROUND($C$7*SQRT(A45*(1-A45)*(1/24000+1/96000)),6)</f>
        <v>0</v>
      </c>
      <c r="C45" s="10">
        <f t="shared" ref="C45:C52" si="11">A45+B45</f>
        <v>1E-3</v>
      </c>
      <c r="D45" s="2" t="s">
        <v>41</v>
      </c>
    </row>
    <row r="46" spans="1:6" x14ac:dyDescent="0.35">
      <c r="A46" s="7">
        <v>1.5E-3</v>
      </c>
      <c r="B46" s="10">
        <f t="shared" si="10"/>
        <v>0</v>
      </c>
      <c r="C46" s="10">
        <f t="shared" si="11"/>
        <v>1.5E-3</v>
      </c>
      <c r="D46" s="2" t="s">
        <v>41</v>
      </c>
    </row>
    <row r="47" spans="1:6" x14ac:dyDescent="0.35">
      <c r="A47" s="7">
        <v>2E-3</v>
      </c>
      <c r="B47" s="10">
        <f t="shared" si="10"/>
        <v>0</v>
      </c>
      <c r="C47" s="10">
        <f t="shared" si="11"/>
        <v>2E-3</v>
      </c>
      <c r="D47" s="2" t="s">
        <v>42</v>
      </c>
    </row>
    <row r="48" spans="1:6" x14ac:dyDescent="0.35">
      <c r="A48" s="7">
        <v>2.5000000000000001E-3</v>
      </c>
      <c r="B48" s="10">
        <f t="shared" si="10"/>
        <v>0</v>
      </c>
      <c r="C48" s="10">
        <f t="shared" si="11"/>
        <v>2.5000000000000001E-3</v>
      </c>
      <c r="D48" s="2" t="s">
        <v>42</v>
      </c>
    </row>
    <row r="49" spans="1:4" x14ac:dyDescent="0.35">
      <c r="A49" s="7">
        <v>3.0000000000000001E-3</v>
      </c>
      <c r="B49" s="10">
        <f t="shared" si="10"/>
        <v>0</v>
      </c>
      <c r="C49" s="10">
        <f t="shared" si="11"/>
        <v>3.0000000000000001E-3</v>
      </c>
      <c r="D49" s="2" t="s">
        <v>43</v>
      </c>
    </row>
    <row r="50" spans="1:4" x14ac:dyDescent="0.35">
      <c r="A50" s="7">
        <v>4.0000000000000001E-3</v>
      </c>
      <c r="B50" s="10">
        <f t="shared" si="10"/>
        <v>0</v>
      </c>
      <c r="C50" s="10">
        <f t="shared" si="11"/>
        <v>4.0000000000000001E-3</v>
      </c>
      <c r="D50" s="2"/>
    </row>
    <row r="51" spans="1:4" x14ac:dyDescent="0.35">
      <c r="A51" s="7">
        <v>5.0000000000000001E-3</v>
      </c>
      <c r="B51" s="10">
        <f t="shared" si="10"/>
        <v>0</v>
      </c>
      <c r="C51" s="10">
        <f t="shared" si="11"/>
        <v>5.0000000000000001E-3</v>
      </c>
      <c r="D51" s="2"/>
    </row>
    <row r="52" spans="1:4" x14ac:dyDescent="0.35">
      <c r="A52" s="7">
        <v>0.01</v>
      </c>
      <c r="B52" s="10">
        <f t="shared" si="10"/>
        <v>0</v>
      </c>
      <c r="C52" s="10">
        <f t="shared" si="11"/>
        <v>0.01</v>
      </c>
      <c r="D52" s="2" t="s">
        <v>44</v>
      </c>
    </row>
    <row r="58" spans="1:4" ht="22" customHeight="1" x14ac:dyDescent="0.35">
      <c r="A58" s="18" t="s">
        <v>45</v>
      </c>
      <c r="B58" s="16"/>
      <c r="C58" s="16"/>
      <c r="D58" s="17"/>
    </row>
    <row r="59" spans="1:4" x14ac:dyDescent="0.35">
      <c r="A59" s="2" t="s">
        <v>46</v>
      </c>
      <c r="B59" s="8">
        <v>0.2</v>
      </c>
    </row>
    <row r="60" spans="1:4" x14ac:dyDescent="0.35">
      <c r="A60" s="2" t="s">
        <v>47</v>
      </c>
      <c r="B60" s="12">
        <f>$D$11</f>
        <v>3.0000000000000001E-3</v>
      </c>
    </row>
    <row r="61" spans="1:4" ht="38" customHeight="1" x14ac:dyDescent="0.35">
      <c r="A61" s="1" t="s">
        <v>48</v>
      </c>
      <c r="B61" s="1" t="s">
        <v>49</v>
      </c>
      <c r="C61" s="1" t="s">
        <v>50</v>
      </c>
      <c r="D61" s="1" t="s">
        <v>51</v>
      </c>
    </row>
    <row r="62" spans="1:4" x14ac:dyDescent="0.35">
      <c r="A62" s="7">
        <v>1E-3</v>
      </c>
      <c r="B62" s="9">
        <f t="shared" ref="B62:B68" si="12">CEILING(($C$7^2*$B$60*(1-$B$60)*(1/$B$59+1/(1-$B$59)))/A62^2,1)</f>
        <v>0</v>
      </c>
      <c r="C62" s="9">
        <f t="shared" ref="C62:C68" si="13">ROUND(B62*$B$59,0)</f>
        <v>0</v>
      </c>
      <c r="D62" s="9">
        <f t="shared" ref="D62:D68" si="14">ROUND(B62*(1-$B$59),0)</f>
        <v>0</v>
      </c>
    </row>
    <row r="63" spans="1:4" x14ac:dyDescent="0.35">
      <c r="A63" s="7">
        <v>1.5E-3</v>
      </c>
      <c r="B63" s="9">
        <f t="shared" si="12"/>
        <v>0</v>
      </c>
      <c r="C63" s="9">
        <f t="shared" si="13"/>
        <v>0</v>
      </c>
      <c r="D63" s="9">
        <f t="shared" si="14"/>
        <v>0</v>
      </c>
    </row>
    <row r="64" spans="1:4" x14ac:dyDescent="0.35">
      <c r="A64" s="7">
        <v>2E-3</v>
      </c>
      <c r="B64" s="9">
        <f t="shared" si="12"/>
        <v>0</v>
      </c>
      <c r="C64" s="9">
        <f t="shared" si="13"/>
        <v>0</v>
      </c>
      <c r="D64" s="9">
        <f t="shared" si="14"/>
        <v>0</v>
      </c>
    </row>
    <row r="65" spans="1:8" x14ac:dyDescent="0.35">
      <c r="A65" s="7">
        <v>3.0000000000000001E-3</v>
      </c>
      <c r="B65" s="9">
        <f t="shared" si="12"/>
        <v>0</v>
      </c>
      <c r="C65" s="9">
        <f t="shared" si="13"/>
        <v>0</v>
      </c>
      <c r="D65" s="9">
        <f t="shared" si="14"/>
        <v>0</v>
      </c>
    </row>
    <row r="66" spans="1:8" x14ac:dyDescent="0.35">
      <c r="A66" s="7">
        <v>5.0000000000000001E-3</v>
      </c>
      <c r="B66" s="9">
        <f t="shared" si="12"/>
        <v>0</v>
      </c>
      <c r="C66" s="9">
        <f t="shared" si="13"/>
        <v>0</v>
      </c>
      <c r="D66" s="9">
        <f t="shared" si="14"/>
        <v>0</v>
      </c>
    </row>
    <row r="67" spans="1:8" x14ac:dyDescent="0.35">
      <c r="A67" s="7">
        <v>8.0000000000000002E-3</v>
      </c>
      <c r="B67" s="9">
        <f t="shared" si="12"/>
        <v>0</v>
      </c>
      <c r="C67" s="9">
        <f t="shared" si="13"/>
        <v>0</v>
      </c>
      <c r="D67" s="9">
        <f t="shared" si="14"/>
        <v>0</v>
      </c>
    </row>
    <row r="68" spans="1:8" x14ac:dyDescent="0.35">
      <c r="A68" s="7">
        <v>0.01</v>
      </c>
      <c r="B68" s="9">
        <f t="shared" si="12"/>
        <v>0</v>
      </c>
      <c r="C68" s="9">
        <f t="shared" si="13"/>
        <v>0</v>
      </c>
      <c r="D68" s="9">
        <f t="shared" si="14"/>
        <v>0</v>
      </c>
    </row>
    <row r="73" spans="1:8" ht="22" customHeight="1" x14ac:dyDescent="0.35">
      <c r="A73" s="18" t="s">
        <v>52</v>
      </c>
      <c r="B73" s="16"/>
      <c r="C73" s="16"/>
      <c r="D73" s="16"/>
      <c r="E73" s="16"/>
      <c r="F73" s="16"/>
      <c r="G73" s="16"/>
      <c r="H73" s="17"/>
    </row>
    <row r="74" spans="1:8" ht="38" customHeight="1" x14ac:dyDescent="0.35">
      <c r="A74" s="1" t="s">
        <v>53</v>
      </c>
      <c r="B74" s="1" t="s">
        <v>54</v>
      </c>
      <c r="C74" s="1" t="s">
        <v>55</v>
      </c>
      <c r="D74" s="1" t="s">
        <v>56</v>
      </c>
      <c r="E74" s="1" t="s">
        <v>57</v>
      </c>
      <c r="F74" s="1" t="s">
        <v>58</v>
      </c>
      <c r="G74" s="1" t="s">
        <v>59</v>
      </c>
      <c r="H74" s="1" t="s">
        <v>60</v>
      </c>
    </row>
    <row r="75" spans="1:8" x14ac:dyDescent="0.35">
      <c r="A75" s="2" t="s">
        <v>61</v>
      </c>
      <c r="B75" s="13">
        <v>51780</v>
      </c>
      <c r="C75" s="13">
        <v>42539</v>
      </c>
      <c r="D75" s="14">
        <v>0.82</v>
      </c>
      <c r="E75" s="13">
        <v>4755</v>
      </c>
      <c r="F75" s="12">
        <v>9.1800000000000007E-2</v>
      </c>
      <c r="G75" s="13">
        <v>3840</v>
      </c>
      <c r="H75" s="12">
        <v>7.4200000000000002E-2</v>
      </c>
    </row>
    <row r="76" spans="1:8" x14ac:dyDescent="0.35">
      <c r="A76" s="2" t="s">
        <v>62</v>
      </c>
      <c r="B76" s="13">
        <v>48555</v>
      </c>
      <c r="C76" s="13">
        <v>41027</v>
      </c>
      <c r="D76" s="14">
        <v>0.85</v>
      </c>
      <c r="E76" s="13">
        <v>1793</v>
      </c>
      <c r="F76" s="12">
        <v>3.6900000000000002E-2</v>
      </c>
      <c r="G76" s="13">
        <v>1445</v>
      </c>
      <c r="H76" s="12">
        <v>2.98E-2</v>
      </c>
    </row>
    <row r="77" spans="1:8" x14ac:dyDescent="0.35">
      <c r="A77" s="2" t="s">
        <v>63</v>
      </c>
      <c r="B77" s="13">
        <v>49293</v>
      </c>
      <c r="C77" s="13">
        <v>41873</v>
      </c>
      <c r="D77" s="14">
        <v>0.85</v>
      </c>
      <c r="E77" s="13">
        <v>1137</v>
      </c>
      <c r="F77" s="12">
        <v>2.3099999999999999E-2</v>
      </c>
      <c r="G77" s="13">
        <v>925</v>
      </c>
      <c r="H77" s="12">
        <v>1.8800000000000001E-2</v>
      </c>
    </row>
    <row r="78" spans="1:8" x14ac:dyDescent="0.35">
      <c r="A78" s="2" t="s">
        <v>64</v>
      </c>
      <c r="B78" s="13">
        <v>50270</v>
      </c>
      <c r="C78" s="13">
        <v>39502</v>
      </c>
      <c r="D78" s="14">
        <v>0.79</v>
      </c>
      <c r="E78" s="13">
        <v>730</v>
      </c>
      <c r="F78" s="12">
        <v>1.4500000000000001E-2</v>
      </c>
      <c r="G78" s="13">
        <v>585</v>
      </c>
      <c r="H78" s="12">
        <v>1.1599999999999999E-2</v>
      </c>
    </row>
    <row r="79" spans="1:8" x14ac:dyDescent="0.35">
      <c r="A79" s="2" t="s">
        <v>65</v>
      </c>
      <c r="B79" s="13">
        <v>47002</v>
      </c>
      <c r="C79" s="13">
        <v>35876</v>
      </c>
      <c r="D79" s="14">
        <v>0.76</v>
      </c>
      <c r="E79" s="13">
        <v>484</v>
      </c>
      <c r="F79" s="12">
        <v>1.03E-2</v>
      </c>
      <c r="G79" s="13">
        <v>389</v>
      </c>
      <c r="H79" s="12">
        <v>8.3000000000000001E-3</v>
      </c>
    </row>
    <row r="80" spans="1:8" x14ac:dyDescent="0.35">
      <c r="A80" s="2" t="s">
        <v>66</v>
      </c>
      <c r="B80" s="13">
        <v>49254</v>
      </c>
      <c r="C80" s="13">
        <v>29641</v>
      </c>
      <c r="D80" s="14">
        <v>0.6</v>
      </c>
      <c r="E80" s="13">
        <v>342</v>
      </c>
      <c r="F80" s="12">
        <v>6.8999999999999999E-3</v>
      </c>
      <c r="G80" s="13">
        <v>251</v>
      </c>
      <c r="H80" s="12">
        <v>5.1000000000000004E-3</v>
      </c>
    </row>
    <row r="81" spans="1:8" x14ac:dyDescent="0.35">
      <c r="A81" s="2" t="s">
        <v>25</v>
      </c>
      <c r="B81" s="13">
        <v>55048</v>
      </c>
      <c r="C81" s="13">
        <v>3297</v>
      </c>
      <c r="D81" s="14">
        <v>0.06</v>
      </c>
      <c r="E81" s="13">
        <v>252</v>
      </c>
      <c r="F81" s="12">
        <v>4.5999999999999999E-3</v>
      </c>
      <c r="G81" s="13">
        <v>166</v>
      </c>
      <c r="H81" s="12">
        <v>3.0000000000000001E-3</v>
      </c>
    </row>
    <row r="82" spans="1:8" x14ac:dyDescent="0.35">
      <c r="A82" s="2" t="s">
        <v>67</v>
      </c>
      <c r="B82" s="13">
        <v>43790</v>
      </c>
      <c r="C82" s="13">
        <v>698</v>
      </c>
      <c r="D82" s="14">
        <v>0.02</v>
      </c>
      <c r="E82" s="13">
        <v>121</v>
      </c>
      <c r="F82" s="12">
        <v>2.8E-3</v>
      </c>
      <c r="G82" s="13">
        <v>78</v>
      </c>
      <c r="H82" s="12">
        <v>1.8E-3</v>
      </c>
    </row>
    <row r="83" spans="1:8" x14ac:dyDescent="0.35">
      <c r="A83" s="2" t="s">
        <v>68</v>
      </c>
      <c r="B83" s="13">
        <v>68216</v>
      </c>
      <c r="C83" s="13">
        <v>453</v>
      </c>
      <c r="D83" s="14">
        <v>0.01</v>
      </c>
      <c r="E83" s="13">
        <v>115</v>
      </c>
      <c r="F83" s="12">
        <v>1.6999999999999999E-3</v>
      </c>
      <c r="G83" s="13">
        <v>76</v>
      </c>
      <c r="H83" s="12">
        <v>1.1000000000000001E-3</v>
      </c>
    </row>
    <row r="84" spans="1:8" x14ac:dyDescent="0.35">
      <c r="A84" s="2" t="s">
        <v>69</v>
      </c>
      <c r="B84" s="13">
        <v>68588</v>
      </c>
      <c r="C84" s="13">
        <v>285</v>
      </c>
      <c r="D84" s="14">
        <v>0</v>
      </c>
      <c r="E84" s="13">
        <v>57</v>
      </c>
      <c r="F84" s="12">
        <v>8.0000000000000004E-4</v>
      </c>
      <c r="G84" s="13">
        <v>39</v>
      </c>
      <c r="H84" s="12">
        <v>5.9999999999999995E-4</v>
      </c>
    </row>
    <row r="85" spans="1:8" x14ac:dyDescent="0.35">
      <c r="A85" s="2" t="s">
        <v>70</v>
      </c>
      <c r="B85" s="13">
        <v>296154</v>
      </c>
      <c r="C85" s="13">
        <v>230458</v>
      </c>
      <c r="D85" s="14">
        <v>0.78</v>
      </c>
      <c r="E85" s="13">
        <v>9241</v>
      </c>
      <c r="F85" s="12">
        <v>3.1199999999999999E-2</v>
      </c>
      <c r="G85" s="13">
        <v>7435</v>
      </c>
      <c r="H85" s="12">
        <v>2.5100000000000001E-2</v>
      </c>
    </row>
    <row r="86" spans="1:8" x14ac:dyDescent="0.35">
      <c r="A86" s="2" t="s">
        <v>71</v>
      </c>
      <c r="B86" s="13">
        <v>531796</v>
      </c>
      <c r="C86" s="13">
        <v>235191</v>
      </c>
      <c r="D86" s="2" t="s">
        <v>34</v>
      </c>
      <c r="E86" s="13">
        <v>9786</v>
      </c>
      <c r="F86" s="12">
        <v>1.84E-2</v>
      </c>
      <c r="G86" s="13">
        <v>7794</v>
      </c>
      <c r="H86" s="12">
        <v>1.47E-2</v>
      </c>
    </row>
    <row r="90" spans="1:8" ht="22" customHeight="1" x14ac:dyDescent="0.35">
      <c r="A90" s="18" t="s">
        <v>72</v>
      </c>
      <c r="B90" s="16"/>
      <c r="C90" s="16"/>
      <c r="D90" s="17"/>
    </row>
    <row r="91" spans="1:8" x14ac:dyDescent="0.35">
      <c r="A91" s="15" t="s">
        <v>73</v>
      </c>
      <c r="B91" s="16"/>
      <c r="C91" s="16"/>
      <c r="D91" s="17"/>
    </row>
    <row r="92" spans="1:8" x14ac:dyDescent="0.35">
      <c r="A92" s="15" t="s">
        <v>74</v>
      </c>
      <c r="B92" s="16"/>
      <c r="C92" s="16"/>
      <c r="D92" s="17"/>
    </row>
    <row r="93" spans="1:8" x14ac:dyDescent="0.35">
      <c r="A93" s="15" t="s">
        <v>75</v>
      </c>
      <c r="B93" s="16"/>
      <c r="C93" s="16"/>
      <c r="D93" s="17"/>
    </row>
    <row r="94" spans="1:8" x14ac:dyDescent="0.35">
      <c r="A94" s="15" t="s">
        <v>76</v>
      </c>
      <c r="B94" s="16"/>
      <c r="C94" s="16"/>
      <c r="D94" s="17"/>
    </row>
    <row r="95" spans="1:8" x14ac:dyDescent="0.35">
      <c r="A95" s="15" t="s">
        <v>77</v>
      </c>
      <c r="B95" s="16"/>
      <c r="C95" s="16"/>
      <c r="D95" s="17"/>
    </row>
    <row r="96" spans="1:8" x14ac:dyDescent="0.35">
      <c r="A96" s="15" t="s">
        <v>78</v>
      </c>
      <c r="B96" s="16"/>
      <c r="C96" s="16"/>
      <c r="D96" s="17"/>
    </row>
    <row r="97" spans="1:4" x14ac:dyDescent="0.35">
      <c r="A97" s="15" t="s">
        <v>79</v>
      </c>
      <c r="B97" s="16"/>
      <c r="C97" s="16"/>
      <c r="D97" s="17"/>
    </row>
    <row r="98" spans="1:4" x14ac:dyDescent="0.35">
      <c r="A98" s="15" t="s">
        <v>80</v>
      </c>
      <c r="B98" s="16"/>
      <c r="C98" s="16"/>
      <c r="D98" s="17"/>
    </row>
  </sheetData>
  <mergeCells count="15">
    <mergeCell ref="A98:D98"/>
    <mergeCell ref="A90:D90"/>
    <mergeCell ref="A9:K9"/>
    <mergeCell ref="A97:D97"/>
    <mergeCell ref="A73:H73"/>
    <mergeCell ref="A92:D92"/>
    <mergeCell ref="A96:D96"/>
    <mergeCell ref="A43:D43"/>
    <mergeCell ref="A95:D95"/>
    <mergeCell ref="A94:D94"/>
    <mergeCell ref="A28:F28"/>
    <mergeCell ref="A93:D93"/>
    <mergeCell ref="A58:D58"/>
    <mergeCell ref="A1:C1"/>
    <mergeCell ref="A91:D9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MDE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AVS</cp:lastModifiedBy>
  <dcterms:created xsi:type="dcterms:W3CDTF">2026-03-26T17:25:04Z</dcterms:created>
  <dcterms:modified xsi:type="dcterms:W3CDTF">2026-03-26T17:25:05Z</dcterms:modified>
</cp:coreProperties>
</file>