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dre\New_projects\cards\campaigns\PCQ\"/>
    </mc:Choice>
  </mc:AlternateContent>
  <xr:revisionPtr revIDLastSave="0" documentId="13_ncr:1_{54981896-3525-47AD-8ADA-4713802C476D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MD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1" l="1"/>
  <c r="D54" i="1" s="1"/>
  <c r="D53" i="1"/>
  <c r="C53" i="1"/>
  <c r="C52" i="1"/>
  <c r="D52" i="1" s="1"/>
  <c r="C51" i="1"/>
  <c r="D51" i="1" s="1"/>
  <c r="C50" i="1"/>
  <c r="D50" i="1" s="1"/>
  <c r="C49" i="1"/>
  <c r="D49" i="1" s="1"/>
  <c r="D48" i="1"/>
  <c r="C48" i="1"/>
  <c r="D47" i="1"/>
  <c r="C47" i="1"/>
  <c r="D43" i="1"/>
  <c r="C43" i="1"/>
  <c r="E43" i="1" s="1"/>
  <c r="F43" i="1" s="1"/>
  <c r="G42" i="1"/>
  <c r="E42" i="1"/>
  <c r="F42" i="1" s="1"/>
  <c r="D42" i="1"/>
  <c r="C42" i="1"/>
  <c r="D41" i="1"/>
  <c r="C41" i="1"/>
  <c r="G41" i="1" s="1"/>
  <c r="D40" i="1"/>
  <c r="C40" i="1"/>
  <c r="E40" i="1" s="1"/>
  <c r="F40" i="1" s="1"/>
  <c r="D39" i="1"/>
  <c r="C39" i="1"/>
  <c r="G39" i="1" s="1"/>
  <c r="D38" i="1"/>
  <c r="C38" i="1"/>
  <c r="G38" i="1" s="1"/>
  <c r="G37" i="1"/>
  <c r="D37" i="1"/>
  <c r="C37" i="1"/>
  <c r="E37" i="1" s="1"/>
  <c r="F37" i="1" s="1"/>
  <c r="K31" i="1"/>
  <c r="F31" i="1"/>
  <c r="H31" i="1" s="1"/>
  <c r="K30" i="1"/>
  <c r="F30" i="1"/>
  <c r="H30" i="1" s="1"/>
  <c r="K29" i="1"/>
  <c r="F29" i="1"/>
  <c r="H29" i="1" s="1"/>
  <c r="K28" i="1"/>
  <c r="F28" i="1"/>
  <c r="H28" i="1" s="1"/>
  <c r="K27" i="1"/>
  <c r="H27" i="1"/>
  <c r="I27" i="1" s="1"/>
  <c r="G27" i="1"/>
  <c r="F27" i="1"/>
  <c r="K26" i="1"/>
  <c r="F26" i="1"/>
  <c r="G26" i="1" s="1"/>
  <c r="C19" i="1"/>
  <c r="C17" i="1"/>
  <c r="C5" i="1"/>
  <c r="C18" i="1" s="1"/>
  <c r="C20" i="1" s="1"/>
  <c r="C22" i="1" l="1"/>
  <c r="C21" i="1"/>
  <c r="L27" i="1"/>
  <c r="J27" i="1"/>
  <c r="G31" i="1"/>
  <c r="I31" i="1" s="1"/>
  <c r="G40" i="1"/>
  <c r="H26" i="1"/>
  <c r="I26" i="1" s="1"/>
  <c r="E41" i="1"/>
  <c r="F41" i="1" s="1"/>
  <c r="G43" i="1"/>
  <c r="G30" i="1"/>
  <c r="I30" i="1" s="1"/>
  <c r="G28" i="1"/>
  <c r="I28" i="1" s="1"/>
  <c r="E39" i="1"/>
  <c r="F39" i="1" s="1"/>
  <c r="G29" i="1"/>
  <c r="I29" i="1" s="1"/>
  <c r="E38" i="1"/>
  <c r="F38" i="1" s="1"/>
  <c r="L26" i="1" l="1"/>
  <c r="J26" i="1"/>
  <c r="L31" i="1"/>
  <c r="J31" i="1"/>
  <c r="L28" i="1"/>
  <c r="J28" i="1"/>
  <c r="J30" i="1"/>
  <c r="L30" i="1"/>
  <c r="L29" i="1"/>
  <c r="J29" i="1"/>
</calcChain>
</file>

<file path=xl/sharedStrings.xml><?xml version="1.0" encoding="utf-8"?>
<sst xmlns="http://schemas.openxmlformats.org/spreadsheetml/2006/main" count="101" uniqueCount="88">
  <si>
    <t>Statistical Inputs</t>
  </si>
  <si>
    <t>Total population</t>
  </si>
  <si>
    <t>Control allocation</t>
  </si>
  <si>
    <t>Test allocation</t>
  </si>
  <si>
    <t>Significance level (alpha)</t>
  </si>
  <si>
    <t>Power level</t>
  </si>
  <si>
    <t>Baseline RR (Period-ASC, digital only)</t>
  </si>
  <si>
    <t>7th decile Period-ASC rate, Jan 2026. Decile NOT targeted for DM.</t>
  </si>
  <si>
    <t>Minimum lift to act</t>
  </si>
  <si>
    <t>Smallest lift the business would act on</t>
  </si>
  <si>
    <t>Do Not Edit — Statistical Constants</t>
  </si>
  <si>
    <t>Critical Value for Significance (Za)</t>
  </si>
  <si>
    <t>Two-sided. Change to 1.6449 for one-sided test.</t>
  </si>
  <si>
    <t>Critical Value for Power (Zb)</t>
  </si>
  <si>
    <t>For 80% power.</t>
  </si>
  <si>
    <t>Za and Zb are hardcoded for alpha=5% (two-sided) and power=80%. If you change alpha or power, update Za/Zb manually using =NORM.S.INV(1-alpha/2) and =NORM.S.INV(power).</t>
  </si>
  <si>
    <t>Derived Values</t>
  </si>
  <si>
    <t>Control n</t>
  </si>
  <si>
    <t>Test n</t>
  </si>
  <si>
    <t>Allocation check</t>
  </si>
  <si>
    <t>Should show 100%</t>
  </si>
  <si>
    <t>MDE (minimum detectable effect)</t>
  </si>
  <si>
    <t>Detectable test rate</t>
  </si>
  <si>
    <t>Powered for minimum lift?</t>
  </si>
  <si>
    <t>YES = MDE is at or below the minimum lift to act</t>
  </si>
  <si>
    <t>Expansion Scenarios</t>
  </si>
  <si>
    <t>#</t>
  </si>
  <si>
    <t>Scenario</t>
  </si>
  <si>
    <t>Deciles</t>
  </si>
  <si>
    <t>Population</t>
  </si>
  <si>
    <t>Baseline (Period-ASC)</t>
  </si>
  <si>
    <t>Control %</t>
  </si>
  <si>
    <t>n_Control</t>
  </si>
  <si>
    <t>n_Test</t>
  </si>
  <si>
    <t>MDE</t>
  </si>
  <si>
    <t>Detectable Rate</t>
  </si>
  <si>
    <t>Min Lift</t>
  </si>
  <si>
    <t>Powered?</t>
  </si>
  <si>
    <t>7th only</t>
  </si>
  <si>
    <t>7</t>
  </si>
  <si>
    <t>7th + 8th</t>
  </si>
  <si>
    <t>7-8</t>
  </si>
  <si>
    <t>7th-9th</t>
  </si>
  <si>
    <t>7-9</t>
  </si>
  <si>
    <t>120K budget</t>
  </si>
  <si>
    <t>All (7-10)</t>
  </si>
  <si>
    <t>7-10</t>
  </si>
  <si>
    <t>Custom</t>
  </si>
  <si>
    <t>—</t>
  </si>
  <si>
    <t>Stress Test — Control Split Sensitivity (Scenario 1: 7th decile)</t>
  </si>
  <si>
    <t>Baseline (editable):</t>
  </si>
  <si>
    <t>Defaults to Section 1 baseline — change to explore</t>
  </si>
  <si>
    <t>Clients Withheld</t>
  </si>
  <si>
    <t>Stress Test — Baseline Sensitivity (fixed pop=120,000 | control=20%)</t>
  </si>
  <si>
    <t>Baseline Rate</t>
  </si>
  <si>
    <t>Notes</t>
  </si>
  <si>
    <t>Below observed 7th-decile range</t>
  </si>
  <si>
    <t>~7th-9th decile blended</t>
  </si>
  <si>
    <t>7th decile (Jan 2026)</t>
  </si>
  <si>
    <t>Top deciles only</t>
  </si>
  <si>
    <t>Reference Data — Jan 2026 Deployment (2026010PCQ) — Decile Breakdown</t>
  </si>
  <si>
    <t>Decile</t>
  </si>
  <si>
    <t>Total Clients</t>
  </si>
  <si>
    <t>DM Targeted</t>
  </si>
  <si>
    <t>DM Coverage</t>
  </si>
  <si>
    <t>Approved All</t>
  </si>
  <si>
    <t>Rate All</t>
  </si>
  <si>
    <t>Approved Period-ASC</t>
  </si>
  <si>
    <t>Rate Period-ASC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</si>
  <si>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</si>
  <si>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</si>
  <si>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</si>
  <si>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</si>
  <si>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</si>
  <si>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</si>
  <si>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</si>
  <si>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</si>
  <si>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</si>
  <si>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1-6</t>
  </si>
  <si>
    <t>TOTAL</t>
  </si>
  <si>
    <t>1. Period-ASC filter required for true campaign-attributed conversions (Daniel Chin, March 26, 2026).</t>
  </si>
  <si>
    <t>2. Baseline rates from 2026010PCQ (Jan 2026, most mature deployment).</t>
  </si>
  <si>
    <t>3. 7th decile NOT currently targeted for DM — volume is leakage (~6% coverage).</t>
  </si>
  <si>
    <t>4. DM is an awareness channel — clients apply via Online/Mobile/Branch, not directly via DM.</t>
  </si>
  <si>
    <t>5. Clients without DM may be Not Eligible, not opt-outs — invalid baseline comparison.</t>
  </si>
  <si>
    <t>6. Green cells are editable — change them to recalculate.</t>
  </si>
  <si>
    <t>7. MDE = minimum detectable effect in absolute percentage points.</t>
  </si>
  <si>
    <t>8. Two-sided test. Change Za to 1.6449 for one-sided.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</si>
</sst>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404040"/>
      <name val="Calibri"/>
    </font>
    <font>
      <i/>
      <sz val="9"/>
      <color rgb="FF80808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3" fontId="0" fillId="3" borderId="0" xfId="0" applyNumberFormat="1" applyFill="1"/>
    <xf numFmtId="10" fontId="0" fillId="3" borderId="0" xfId="0" applyNumberFormat="1" applyFill="1"/>
    <xf numFmtId="10" fontId="0" fillId="0" borderId="0" xfId="0" applyNumberFormat="1"/>
    <xf numFmtId="164" fontId="0" fillId="3" borderId="0" xfId="0" applyNumberFormat="1" applyFill="1"/>
    <xf numFmtId="0" fontId="2" fillId="0" borderId="0" xfId="0" applyFont="1"/>
    <xf numFmtId="165" fontId="0" fillId="0" borderId="0" xfId="0" applyNumberFormat="1"/>
    <xf numFmtId="0" fontId="3" fillId="0" borderId="0" xfId="0" applyFont="1"/>
    <xf numFmtId="3" fontId="0" fillId="0" borderId="0" xfId="0" applyNumberFormat="1"/>
    <xf numFmtId="164" fontId="0" fillId="0" borderId="0" xfId="0" applyNumberFormat="1"/>
    <xf numFmtId="0" fontId="4" fillId="4" borderId="1" xfId="0" applyFont="1" applyFill="1" applyBorder="1" applyAlignment="1">
      <alignment horizontal="center" wrapText="1"/>
    </xf>
    <xf numFmtId="0" fontId="0" fillId="0" borderId="1" xfId="0" applyBorder="1"/>
    <xf numFmtId="3" fontId="0" fillId="3" borderId="1" xfId="0" applyNumberFormat="1" applyFill="1" applyBorder="1"/>
    <xf numFmtId="164" fontId="0" fillId="3" borderId="1" xfId="0" applyNumberFormat="1" applyFill="1" applyBorder="1"/>
    <xf numFmtId="10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78"/>
  <sheetViews>
    <sheetView tabSelected="1" zoomScale="90" workbookViewId="0"/>
  </sheetViews>
  <sheetFormatPr defaultRowHeight="14.5" x14ac:dyDescent="0.35"/>
  <cols>
    <col min="1" max="1" width="5" customWidth="1"/>
    <col min="2" max="2" width="50" customWidth="1"/>
    <col min="3" max="3" width="20" customWidth="1"/>
    <col min="4" max="4" width="40" customWidth="1"/>
    <col min="5" max="8" width="16" customWidth="1"/>
    <col min="9" max="9" width="18" customWidth="1"/>
    <col min="10" max="11" width="16" customWidth="1"/>
    <col min="12" max="12" width="50" customWidth="1"/>
  </cols>
  <sheetData>
    <row r="2" spans="1:12" x14ac:dyDescent="0.3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B3" s="3" t="s">
        <v>1</v>
      </c>
      <c r="C3" s="4">
        <v>55048</v>
      </c>
    </row>
    <row r="4" spans="1:12" x14ac:dyDescent="0.35">
      <c r="B4" s="3" t="s">
        <v>2</v>
      </c>
      <c r="C4" s="5">
        <v>0.2</v>
      </c>
    </row>
    <row r="5" spans="1:12" x14ac:dyDescent="0.35">
      <c r="B5" s="3" t="s">
        <v>3</v>
      </c>
      <c r="C5" s="6">
        <f>1-C4</f>
        <v>0.8</v>
      </c>
    </row>
    <row r="6" spans="1:12" x14ac:dyDescent="0.35">
      <c r="B6" s="3" t="s">
        <v>4</v>
      </c>
      <c r="C6" s="5">
        <v>0.05</v>
      </c>
    </row>
    <row r="7" spans="1:12" x14ac:dyDescent="0.35">
      <c r="B7" s="3" t="s">
        <v>5</v>
      </c>
      <c r="C7" s="5">
        <v>0.8</v>
      </c>
    </row>
    <row r="8" spans="1:12" x14ac:dyDescent="0.35">
      <c r="B8" s="3" t="s">
        <v>6</v>
      </c>
      <c r="C8" s="7">
        <v>3.0000000000000001E-3</v>
      </c>
      <c r="D8" s="8" t="s">
        <v>7</v>
      </c>
    </row>
    <row r="9" spans="1:12" x14ac:dyDescent="0.35">
      <c r="B9" s="3" t="s">
        <v>8</v>
      </c>
      <c r="C9" s="5">
        <v>5.0000000000000001E-3</v>
      </c>
      <c r="D9" s="8" t="s">
        <v>9</v>
      </c>
    </row>
    <row r="11" spans="1:12" x14ac:dyDescent="0.35">
      <c r="A11" s="1"/>
      <c r="B11" s="2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B12" s="3" t="s">
        <v>11</v>
      </c>
      <c r="C12" s="9">
        <v>1.96</v>
      </c>
      <c r="D12" s="8" t="s">
        <v>12</v>
      </c>
    </row>
    <row r="13" spans="1:12" x14ac:dyDescent="0.35">
      <c r="B13" s="3" t="s">
        <v>13</v>
      </c>
      <c r="C13" s="9">
        <v>0.84160000000000001</v>
      </c>
      <c r="D13" s="8" t="s">
        <v>14</v>
      </c>
    </row>
    <row r="14" spans="1:12" x14ac:dyDescent="0.35">
      <c r="B14" s="10" t="s">
        <v>15</v>
      </c>
    </row>
    <row r="16" spans="1:12" x14ac:dyDescent="0.35">
      <c r="A16" s="1"/>
      <c r="B16" s="2" t="s">
        <v>16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B17" s="3" t="s">
        <v>17</v>
      </c>
      <c r="C17" s="11">
        <f>C3*C4</f>
        <v>11009.6</v>
      </c>
    </row>
    <row r="18" spans="1:12" x14ac:dyDescent="0.35">
      <c r="B18" s="3" t="s">
        <v>18</v>
      </c>
      <c r="C18" s="11">
        <f>C3*C5</f>
        <v>44038.400000000001</v>
      </c>
    </row>
    <row r="19" spans="1:12" x14ac:dyDescent="0.35">
      <c r="B19" s="3" t="s">
        <v>19</v>
      </c>
      <c r="C19" s="6">
        <f>C4+C5</f>
        <v>1</v>
      </c>
      <c r="D19" s="8" t="s">
        <v>20</v>
      </c>
    </row>
    <row r="20" spans="1:12" x14ac:dyDescent="0.35">
      <c r="B20" s="3" t="s">
        <v>21</v>
      </c>
      <c r="C20" s="12">
        <f>ROUND(($C$12+$C$13)*SQRT(C8*(1-C8)*(1/C17+1/C18)),6)</f>
        <v>1.6329999999999999E-3</v>
      </c>
    </row>
    <row r="21" spans="1:12" x14ac:dyDescent="0.35">
      <c r="B21" s="3" t="s">
        <v>22</v>
      </c>
      <c r="C21" s="12">
        <f>C8+C20</f>
        <v>4.633E-3</v>
      </c>
    </row>
    <row r="22" spans="1:12" x14ac:dyDescent="0.35">
      <c r="B22" s="3" t="s">
        <v>23</v>
      </c>
      <c r="C22" t="str">
        <f>IF(C20&lt;=C9,"YES","NO")</f>
        <v>YES</v>
      </c>
      <c r="D22" s="8" t="s">
        <v>24</v>
      </c>
    </row>
    <row r="24" spans="1:12" x14ac:dyDescent="0.35">
      <c r="A24" s="1"/>
      <c r="B24" s="2" t="s">
        <v>25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9" x14ac:dyDescent="0.35">
      <c r="A25" s="13" t="s">
        <v>26</v>
      </c>
      <c r="B25" s="13" t="s">
        <v>27</v>
      </c>
      <c r="C25" s="13" t="s">
        <v>28</v>
      </c>
      <c r="D25" s="13" t="s">
        <v>29</v>
      </c>
      <c r="E25" s="13" t="s">
        <v>30</v>
      </c>
      <c r="F25" s="13" t="s">
        <v>31</v>
      </c>
      <c r="G25" s="13" t="s">
        <v>32</v>
      </c>
      <c r="H25" s="13" t="s">
        <v>33</v>
      </c>
      <c r="I25" s="13" t="s">
        <v>34</v>
      </c>
      <c r="J25" s="13" t="s">
        <v>35</v>
      </c>
      <c r="K25" s="13" t="s">
        <v>36</v>
      </c>
      <c r="L25" s="13" t="s">
        <v>37</v>
      </c>
    </row>
    <row r="26" spans="1:12" x14ac:dyDescent="0.35">
      <c r="A26" s="14">
        <v>1</v>
      </c>
      <c r="B26" s="14" t="s">
        <v>38</v>
      </c>
      <c r="C26" s="14" t="s">
        <v>39</v>
      </c>
      <c r="D26" s="15">
        <v>55048</v>
      </c>
      <c r="E26" s="16">
        <v>3.0000000000000001E-3</v>
      </c>
      <c r="F26" s="17">
        <f t="shared" ref="F26:F31" si="0">$C$4</f>
        <v>0.2</v>
      </c>
      <c r="G26" s="18">
        <f t="shared" ref="G26:G31" si="1">D26*F26</f>
        <v>11009.6</v>
      </c>
      <c r="H26" s="18">
        <f t="shared" ref="H26:H31" si="2">D26*(1-F26)</f>
        <v>44038.400000000001</v>
      </c>
      <c r="I26" s="19">
        <f t="shared" ref="I26:I31" si="3">ROUND(($C$12+$C$13)*SQRT(E26*(1-E26)*(1/G26+1/H26)),6)</f>
        <v>1.6329999999999999E-3</v>
      </c>
      <c r="J26" s="19">
        <f t="shared" ref="J26:J31" si="4">E26+I26</f>
        <v>4.633E-3</v>
      </c>
      <c r="K26" s="17">
        <f t="shared" ref="K26:K31" si="5">$C$9</f>
        <v>5.0000000000000001E-3</v>
      </c>
      <c r="L26" s="20" t="str">
        <f t="shared" ref="L26:L31" si="6">IF(I26&lt;=K26,"YES","NO — MDE too large")</f>
        <v>YES</v>
      </c>
    </row>
    <row r="27" spans="1:12" x14ac:dyDescent="0.35">
      <c r="A27" s="14">
        <v>2</v>
      </c>
      <c r="B27" s="14" t="s">
        <v>40</v>
      </c>
      <c r="C27" s="14" t="s">
        <v>41</v>
      </c>
      <c r="D27" s="15">
        <v>98838</v>
      </c>
      <c r="E27" s="16">
        <v>2.5000000000000001E-3</v>
      </c>
      <c r="F27" s="17">
        <f t="shared" si="0"/>
        <v>0.2</v>
      </c>
      <c r="G27" s="18">
        <f t="shared" si="1"/>
        <v>19767.600000000002</v>
      </c>
      <c r="H27" s="18">
        <f t="shared" si="2"/>
        <v>79070.400000000009</v>
      </c>
      <c r="I27" s="19">
        <f t="shared" si="3"/>
        <v>1.1130000000000001E-3</v>
      </c>
      <c r="J27" s="19">
        <f t="shared" si="4"/>
        <v>3.6129999999999999E-3</v>
      </c>
      <c r="K27" s="17">
        <f t="shared" si="5"/>
        <v>5.0000000000000001E-3</v>
      </c>
      <c r="L27" s="20" t="str">
        <f t="shared" si="6"/>
        <v>YES</v>
      </c>
    </row>
    <row r="28" spans="1:12" x14ac:dyDescent="0.35">
      <c r="A28" s="14">
        <v>3</v>
      </c>
      <c r="B28" s="14" t="s">
        <v>42</v>
      </c>
      <c r="C28" s="14" t="s">
        <v>43</v>
      </c>
      <c r="D28" s="15">
        <v>167054</v>
      </c>
      <c r="E28" s="16">
        <v>1.9E-3</v>
      </c>
      <c r="F28" s="17">
        <f t="shared" si="0"/>
        <v>0.2</v>
      </c>
      <c r="G28" s="18">
        <f t="shared" si="1"/>
        <v>33410.800000000003</v>
      </c>
      <c r="H28" s="18">
        <f t="shared" si="2"/>
        <v>133643.20000000001</v>
      </c>
      <c r="I28" s="19">
        <f t="shared" si="3"/>
        <v>7.4600000000000003E-4</v>
      </c>
      <c r="J28" s="19">
        <f t="shared" si="4"/>
        <v>2.6459999999999999E-3</v>
      </c>
      <c r="K28" s="17">
        <f t="shared" si="5"/>
        <v>5.0000000000000001E-3</v>
      </c>
      <c r="L28" s="20" t="str">
        <f t="shared" si="6"/>
        <v>YES</v>
      </c>
    </row>
    <row r="29" spans="1:12" x14ac:dyDescent="0.35">
      <c r="A29" s="14">
        <v>4</v>
      </c>
      <c r="B29" s="14" t="s">
        <v>44</v>
      </c>
      <c r="C29" s="14" t="s">
        <v>43</v>
      </c>
      <c r="D29" s="15">
        <v>120000</v>
      </c>
      <c r="E29" s="16">
        <v>1.9E-3</v>
      </c>
      <c r="F29" s="17">
        <f t="shared" si="0"/>
        <v>0.2</v>
      </c>
      <c r="G29" s="18">
        <f t="shared" si="1"/>
        <v>24000</v>
      </c>
      <c r="H29" s="18">
        <f t="shared" si="2"/>
        <v>96000</v>
      </c>
      <c r="I29" s="19">
        <f t="shared" si="3"/>
        <v>8.8000000000000003E-4</v>
      </c>
      <c r="J29" s="19">
        <f t="shared" si="4"/>
        <v>2.7799999999999999E-3</v>
      </c>
      <c r="K29" s="17">
        <f t="shared" si="5"/>
        <v>5.0000000000000001E-3</v>
      </c>
      <c r="L29" s="20" t="str">
        <f t="shared" si="6"/>
        <v>YES</v>
      </c>
    </row>
    <row r="30" spans="1:12" x14ac:dyDescent="0.35">
      <c r="A30" s="14">
        <v>5</v>
      </c>
      <c r="B30" s="14" t="s">
        <v>45</v>
      </c>
      <c r="C30" s="14" t="s">
        <v>46</v>
      </c>
      <c r="D30" s="15">
        <v>235642</v>
      </c>
      <c r="E30" s="16">
        <v>1.6000000000000001E-3</v>
      </c>
      <c r="F30" s="17">
        <f t="shared" si="0"/>
        <v>0.2</v>
      </c>
      <c r="G30" s="18">
        <f t="shared" si="1"/>
        <v>47128.4</v>
      </c>
      <c r="H30" s="18">
        <f t="shared" si="2"/>
        <v>188513.6</v>
      </c>
      <c r="I30" s="19">
        <f t="shared" si="3"/>
        <v>5.7700000000000004E-4</v>
      </c>
      <c r="J30" s="19">
        <f t="shared" si="4"/>
        <v>2.1770000000000001E-3</v>
      </c>
      <c r="K30" s="17">
        <f t="shared" si="5"/>
        <v>5.0000000000000001E-3</v>
      </c>
      <c r="L30" s="20" t="str">
        <f t="shared" si="6"/>
        <v>YES</v>
      </c>
    </row>
    <row r="31" spans="1:12" x14ac:dyDescent="0.35">
      <c r="A31" s="14">
        <v>6</v>
      </c>
      <c r="B31" s="14" t="s">
        <v>47</v>
      </c>
      <c r="C31" s="14" t="s">
        <v>48</v>
      </c>
      <c r="D31" s="15">
        <v>120000</v>
      </c>
      <c r="E31" s="16">
        <v>3.0000000000000001E-3</v>
      </c>
      <c r="F31" s="17">
        <f t="shared" si="0"/>
        <v>0.2</v>
      </c>
      <c r="G31" s="18">
        <f t="shared" si="1"/>
        <v>24000</v>
      </c>
      <c r="H31" s="18">
        <f t="shared" si="2"/>
        <v>96000</v>
      </c>
      <c r="I31" s="19">
        <f t="shared" si="3"/>
        <v>1.106E-3</v>
      </c>
      <c r="J31" s="19">
        <f t="shared" si="4"/>
        <v>4.1060000000000003E-3</v>
      </c>
      <c r="K31" s="17">
        <f t="shared" si="5"/>
        <v>5.0000000000000001E-3</v>
      </c>
      <c r="L31" s="20" t="str">
        <f t="shared" si="6"/>
        <v>YES</v>
      </c>
    </row>
    <row r="34" spans="1:12" x14ac:dyDescent="0.35">
      <c r="A34" s="1"/>
      <c r="B34" s="2" t="s">
        <v>49</v>
      </c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B35" s="3" t="s">
        <v>50</v>
      </c>
      <c r="C35" s="7">
        <v>3.0000000000000001E-3</v>
      </c>
      <c r="D35" s="8" t="s">
        <v>51</v>
      </c>
    </row>
    <row r="36" spans="1:12" x14ac:dyDescent="0.35">
      <c r="A36" s="13"/>
      <c r="B36" s="13" t="s">
        <v>31</v>
      </c>
      <c r="C36" s="13" t="s">
        <v>32</v>
      </c>
      <c r="D36" s="13" t="s">
        <v>33</v>
      </c>
      <c r="E36" s="13" t="s">
        <v>34</v>
      </c>
      <c r="F36" s="13" t="s">
        <v>35</v>
      </c>
      <c r="G36" s="13" t="s">
        <v>52</v>
      </c>
    </row>
    <row r="37" spans="1:12" x14ac:dyDescent="0.35">
      <c r="A37" s="14"/>
      <c r="B37" s="21">
        <v>0.05</v>
      </c>
      <c r="C37" s="18">
        <f t="shared" ref="C37:C43" si="7">ROUND($D$26*B37,0)</f>
        <v>2752</v>
      </c>
      <c r="D37" s="18">
        <f t="shared" ref="D37:D43" si="8">ROUND($D$26*(1-B37),0)</f>
        <v>52296</v>
      </c>
      <c r="E37" s="19">
        <f>ROUND(($C$12+$C$13)*SQRT($C35*(1-$C35)*(1/C37+1/D37)),6)</f>
        <v>2.9970000000000001E-3</v>
      </c>
      <c r="F37" s="19">
        <f>$C35+E37</f>
        <v>5.9970000000000006E-3</v>
      </c>
      <c r="G37" s="14" t="str">
        <f t="shared" ref="G37:G43" si="9">TEXT(C37,"#,##0")&amp;" clients withheld from DM"</f>
        <v>2,752 clients withheld from DM</v>
      </c>
    </row>
    <row r="38" spans="1:12" x14ac:dyDescent="0.35">
      <c r="A38" s="14"/>
      <c r="B38" s="21">
        <v>0.1</v>
      </c>
      <c r="C38" s="18">
        <f t="shared" si="7"/>
        <v>5505</v>
      </c>
      <c r="D38" s="18">
        <f t="shared" si="8"/>
        <v>49543</v>
      </c>
      <c r="E38" s="19">
        <f>ROUND(($C$12+$C$13)*SQRT($C35*(1-$C35)*(1/C38+1/D38)),6)</f>
        <v>2.1770000000000001E-3</v>
      </c>
      <c r="F38" s="19">
        <f>$C35+E38</f>
        <v>5.1770000000000002E-3</v>
      </c>
      <c r="G38" s="14" t="str">
        <f t="shared" si="9"/>
        <v>5,505 clients withheld from DM</v>
      </c>
    </row>
    <row r="39" spans="1:12" x14ac:dyDescent="0.35">
      <c r="A39" s="14"/>
      <c r="B39" s="21">
        <v>0.15</v>
      </c>
      <c r="C39" s="18">
        <f t="shared" si="7"/>
        <v>8257</v>
      </c>
      <c r="D39" s="18">
        <f t="shared" si="8"/>
        <v>46791</v>
      </c>
      <c r="E39" s="19">
        <f>ROUND(($C$12+$C$13)*SQRT($C35*(1-$C35)*(1/C39+1/D39)),6)</f>
        <v>1.8289999999999999E-3</v>
      </c>
      <c r="F39" s="19">
        <f>$C35+E39</f>
        <v>4.829E-3</v>
      </c>
      <c r="G39" s="14" t="str">
        <f t="shared" si="9"/>
        <v>8,257 clients withheld from DM</v>
      </c>
    </row>
    <row r="40" spans="1:12" x14ac:dyDescent="0.35">
      <c r="A40" s="14"/>
      <c r="B40" s="21">
        <v>0.2</v>
      </c>
      <c r="C40" s="18">
        <f t="shared" si="7"/>
        <v>11010</v>
      </c>
      <c r="D40" s="18">
        <f t="shared" si="8"/>
        <v>44038</v>
      </c>
      <c r="E40" s="19">
        <f>ROUND(($C$12+$C$13)*SQRT($C35*(1-$C35)*(1/C40+1/D40)),6)</f>
        <v>1.6329999999999999E-3</v>
      </c>
      <c r="F40" s="19">
        <f>$C35+E40</f>
        <v>4.633E-3</v>
      </c>
      <c r="G40" s="14" t="str">
        <f t="shared" si="9"/>
        <v>11,010 clients withheld from DM</v>
      </c>
    </row>
    <row r="41" spans="1:12" x14ac:dyDescent="0.35">
      <c r="A41" s="14"/>
      <c r="B41" s="21">
        <v>0.25</v>
      </c>
      <c r="C41" s="18">
        <f t="shared" si="7"/>
        <v>13762</v>
      </c>
      <c r="D41" s="18">
        <f t="shared" si="8"/>
        <v>41286</v>
      </c>
      <c r="E41" s="19">
        <f>ROUND(($C$12+$C$13)*SQRT($C35*(1-$C35)*(1/C41+1/D41)),6)</f>
        <v>1.508E-3</v>
      </c>
      <c r="F41" s="19">
        <f>$C35+E41</f>
        <v>4.5079999999999999E-3</v>
      </c>
      <c r="G41" s="14" t="str">
        <f t="shared" si="9"/>
        <v>13,762 clients withheld from DM</v>
      </c>
    </row>
    <row r="42" spans="1:12" x14ac:dyDescent="0.35">
      <c r="A42" s="14"/>
      <c r="B42" s="21">
        <v>0.3</v>
      </c>
      <c r="C42" s="18">
        <f t="shared" si="7"/>
        <v>16514</v>
      </c>
      <c r="D42" s="18">
        <f t="shared" si="8"/>
        <v>38534</v>
      </c>
      <c r="E42" s="19">
        <f>ROUND(($C$12+$C$13)*SQRT($C35*(1-$C35)*(1/C42+1/D42)),6)</f>
        <v>1.4250000000000001E-3</v>
      </c>
      <c r="F42" s="19">
        <f>$C35+E42</f>
        <v>4.4250000000000001E-3</v>
      </c>
      <c r="G42" s="14" t="str">
        <f t="shared" si="9"/>
        <v>16,514 clients withheld from DM</v>
      </c>
    </row>
    <row r="43" spans="1:12" x14ac:dyDescent="0.35">
      <c r="A43" s="14"/>
      <c r="B43" s="21">
        <v>0.5</v>
      </c>
      <c r="C43" s="18">
        <f t="shared" si="7"/>
        <v>27524</v>
      </c>
      <c r="D43" s="18">
        <f t="shared" si="8"/>
        <v>27524</v>
      </c>
      <c r="E43" s="19">
        <f>ROUND(($C$12+$C$13)*SQRT($C35*(1-$C35)*(1/C43+1/D43)),6)</f>
        <v>1.3060000000000001E-3</v>
      </c>
      <c r="F43" s="19">
        <f>$C35+E43</f>
        <v>4.3059999999999999E-3</v>
      </c>
      <c r="G43" s="14" t="str">
        <f t="shared" si="9"/>
        <v>27,524 clients withheld from DM</v>
      </c>
    </row>
    <row r="45" spans="1:12" x14ac:dyDescent="0.35">
      <c r="A45" s="1"/>
      <c r="B45" s="2" t="s">
        <v>53</v>
      </c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3"/>
      <c r="B46" s="13" t="s">
        <v>54</v>
      </c>
      <c r="C46" s="13" t="s">
        <v>34</v>
      </c>
      <c r="D46" s="13" t="s">
        <v>35</v>
      </c>
      <c r="E46" s="13" t="s">
        <v>55</v>
      </c>
    </row>
    <row r="47" spans="1:12" x14ac:dyDescent="0.35">
      <c r="A47" s="14"/>
      <c r="B47" s="16">
        <v>1E-3</v>
      </c>
      <c r="C47" s="19">
        <f t="shared" ref="C47:C54" si="10">ROUND(($C$12+$C$13)*SQRT(B47*(1-B47)*(1/24000+1/96000)),6)</f>
        <v>6.3900000000000003E-4</v>
      </c>
      <c r="D47" s="19">
        <f t="shared" ref="D47:D54" si="11">B47+C47</f>
        <v>1.639E-3</v>
      </c>
      <c r="E47" s="14" t="s">
        <v>56</v>
      </c>
    </row>
    <row r="48" spans="1:12" x14ac:dyDescent="0.35">
      <c r="A48" s="14"/>
      <c r="B48" s="16">
        <v>1.5E-3</v>
      </c>
      <c r="C48" s="19">
        <f t="shared" si="10"/>
        <v>7.8200000000000003E-4</v>
      </c>
      <c r="D48" s="19">
        <f t="shared" si="11"/>
        <v>2.2820000000000002E-3</v>
      </c>
      <c r="E48" s="14" t="s">
        <v>56</v>
      </c>
    </row>
    <row r="49" spans="1:12" x14ac:dyDescent="0.35">
      <c r="A49" s="14"/>
      <c r="B49" s="16">
        <v>2E-3</v>
      </c>
      <c r="C49" s="19">
        <f t="shared" si="10"/>
        <v>9.0300000000000005E-4</v>
      </c>
      <c r="D49" s="19">
        <f t="shared" si="11"/>
        <v>2.9030000000000002E-3</v>
      </c>
      <c r="E49" s="14" t="s">
        <v>57</v>
      </c>
    </row>
    <row r="50" spans="1:12" x14ac:dyDescent="0.35">
      <c r="A50" s="14"/>
      <c r="B50" s="16">
        <v>2.5000000000000001E-3</v>
      </c>
      <c r="C50" s="19">
        <f t="shared" si="10"/>
        <v>1.01E-3</v>
      </c>
      <c r="D50" s="19">
        <f t="shared" si="11"/>
        <v>3.5100000000000001E-3</v>
      </c>
      <c r="E50" s="14" t="s">
        <v>57</v>
      </c>
    </row>
    <row r="51" spans="1:12" x14ac:dyDescent="0.35">
      <c r="A51" s="14"/>
      <c r="B51" s="16">
        <v>3.0000000000000001E-3</v>
      </c>
      <c r="C51" s="19">
        <f t="shared" si="10"/>
        <v>1.106E-3</v>
      </c>
      <c r="D51" s="19">
        <f t="shared" si="11"/>
        <v>4.1060000000000003E-3</v>
      </c>
      <c r="E51" s="14" t="s">
        <v>58</v>
      </c>
    </row>
    <row r="52" spans="1:12" x14ac:dyDescent="0.35">
      <c r="A52" s="14"/>
      <c r="B52" s="16">
        <v>4.0000000000000001E-3</v>
      </c>
      <c r="C52" s="19">
        <f t="shared" si="10"/>
        <v>1.276E-3</v>
      </c>
      <c r="D52" s="19">
        <f t="shared" si="11"/>
        <v>5.2760000000000003E-3</v>
      </c>
      <c r="E52" s="14"/>
    </row>
    <row r="53" spans="1:12" x14ac:dyDescent="0.35">
      <c r="A53" s="14"/>
      <c r="B53" s="16">
        <v>5.0000000000000001E-3</v>
      </c>
      <c r="C53" s="19">
        <f t="shared" si="10"/>
        <v>1.426E-3</v>
      </c>
      <c r="D53" s="19">
        <f t="shared" si="11"/>
        <v>6.4260000000000003E-3</v>
      </c>
      <c r="E53" s="14"/>
    </row>
    <row r="54" spans="1:12" x14ac:dyDescent="0.35">
      <c r="A54" s="14"/>
      <c r="B54" s="16">
        <v>0.01</v>
      </c>
      <c r="C54" s="19">
        <f t="shared" si="10"/>
        <v>2.0119999999999999E-3</v>
      </c>
      <c r="D54" s="19">
        <f t="shared" si="11"/>
        <v>1.2012E-2</v>
      </c>
      <c r="E54" s="14" t="s">
        <v>59</v>
      </c>
    </row>
    <row r="56" spans="1:12" x14ac:dyDescent="0.35">
      <c r="A56" s="1"/>
      <c r="B56" s="2" t="s">
        <v>60</v>
      </c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29" x14ac:dyDescent="0.35">
      <c r="B57" s="13" t="s">
        <v>61</v>
      </c>
      <c r="C57" s="13" t="s">
        <v>62</v>
      </c>
      <c r="D57" s="13" t="s">
        <v>63</v>
      </c>
      <c r="E57" s="13" t="s">
        <v>64</v>
      </c>
      <c r="F57" s="13" t="s">
        <v>65</v>
      </c>
      <c r="G57" s="13" t="s">
        <v>66</v>
      </c>
      <c r="H57" s="13" t="s">
        <v>67</v>
      </c>
      <c r="I57" s="13" t="s">
        <v>68</v>
      </c>
    </row>
    <row r="58" spans="1:12" x14ac:dyDescent="0.35">
      <c r="B58" s="14" t="s">
        <v>69</v>
      </c>
      <c r="C58" s="18">
        <v>51780</v>
      </c>
      <c r="D58" s="18">
        <v>42539</v>
      </c>
      <c r="E58" s="17">
        <v>0.82</v>
      </c>
      <c r="F58" s="18">
        <v>4755</v>
      </c>
      <c r="G58" s="19">
        <v>9.1800000000000007E-2</v>
      </c>
      <c r="H58" s="18">
        <v>3840</v>
      </c>
      <c r="I58" s="19">
        <v>7.4200000000000002E-2</v>
      </c>
    </row>
    <row r="59" spans="1:12" x14ac:dyDescent="0.35">
      <c r="B59" s="14" t="s">
        <v>70</v>
      </c>
      <c r="C59" s="18">
        <v>48555</v>
      </c>
      <c r="D59" s="18">
        <v>41027</v>
      </c>
      <c r="E59" s="17">
        <v>0.85</v>
      </c>
      <c r="F59" s="18">
        <v>1793</v>
      </c>
      <c r="G59" s="19">
        <v>3.6900000000000002E-2</v>
      </c>
      <c r="H59" s="18">
        <v>1445</v>
      </c>
      <c r="I59" s="19">
        <v>2.98E-2</v>
      </c>
    </row>
    <row r="60" spans="1:12" x14ac:dyDescent="0.35">
      <c r="B60" s="14" t="s">
        <v>71</v>
      </c>
      <c r="C60" s="18">
        <v>49293</v>
      </c>
      <c r="D60" s="18">
        <v>41873</v>
      </c>
      <c r="E60" s="17">
        <v>0.85</v>
      </c>
      <c r="F60" s="18">
        <v>1137</v>
      </c>
      <c r="G60" s="19">
        <v>2.3099999999999999E-2</v>
      </c>
      <c r="H60" s="18">
        <v>925</v>
      </c>
      <c r="I60" s="19">
        <v>1.8800000000000001E-2</v>
      </c>
    </row>
    <row r="61" spans="1:12" x14ac:dyDescent="0.35">
      <c r="B61" s="14" t="s">
        <v>72</v>
      </c>
      <c r="C61" s="18">
        <v>50270</v>
      </c>
      <c r="D61" s="18">
        <v>39502</v>
      </c>
      <c r="E61" s="17">
        <v>0.79</v>
      </c>
      <c r="F61" s="18">
        <v>730</v>
      </c>
      <c r="G61" s="19">
        <v>1.4500000000000001E-2</v>
      </c>
      <c r="H61" s="18">
        <v>585</v>
      </c>
      <c r="I61" s="19">
        <v>1.1599999999999999E-2</v>
      </c>
    </row>
    <row r="62" spans="1:12" x14ac:dyDescent="0.35">
      <c r="B62" s="14" t="s">
        <v>73</v>
      </c>
      <c r="C62" s="18">
        <v>47002</v>
      </c>
      <c r="D62" s="18">
        <v>35876</v>
      </c>
      <c r="E62" s="17">
        <v>0.76</v>
      </c>
      <c r="F62" s="18">
        <v>484</v>
      </c>
      <c r="G62" s="19">
        <v>1.03E-2</v>
      </c>
      <c r="H62" s="18">
        <v>389</v>
      </c>
      <c r="I62" s="19">
        <v>8.3000000000000001E-3</v>
      </c>
    </row>
    <row r="63" spans="1:12" x14ac:dyDescent="0.35">
      <c r="B63" s="14" t="s">
        <v>74</v>
      </c>
      <c r="C63" s="18">
        <v>49254</v>
      </c>
      <c r="D63" s="18">
        <v>29641</v>
      </c>
      <c r="E63" s="17">
        <v>0.6</v>
      </c>
      <c r="F63" s="18">
        <v>342</v>
      </c>
      <c r="G63" s="19">
        <v>6.8999999999999999E-3</v>
      </c>
      <c r="H63" s="18">
        <v>251</v>
      </c>
      <c r="I63" s="19">
        <v>5.1000000000000004E-3</v>
      </c>
    </row>
    <row r="64" spans="1:12" x14ac:dyDescent="0.35">
      <c r="B64" s="14" t="s">
        <v>39</v>
      </c>
      <c r="C64" s="18">
        <v>55048</v>
      </c>
      <c r="D64" s="18">
        <v>3297</v>
      </c>
      <c r="E64" s="17">
        <v>0.06</v>
      </c>
      <c r="F64" s="18">
        <v>252</v>
      </c>
      <c r="G64" s="19">
        <v>4.5999999999999999E-3</v>
      </c>
      <c r="H64" s="18">
        <v>166</v>
      </c>
      <c r="I64" s="19">
        <v>3.0000000000000001E-3</v>
      </c>
    </row>
    <row r="65" spans="1:12" x14ac:dyDescent="0.35">
      <c r="B65" s="14" t="s">
        <v>75</v>
      </c>
      <c r="C65" s="18">
        <v>43790</v>
      </c>
      <c r="D65" s="18">
        <v>698</v>
      </c>
      <c r="E65" s="17">
        <v>0.02</v>
      </c>
      <c r="F65" s="18">
        <v>121</v>
      </c>
      <c r="G65" s="19">
        <v>2.8E-3</v>
      </c>
      <c r="H65" s="18">
        <v>78</v>
      </c>
      <c r="I65" s="19">
        <v>1.8E-3</v>
      </c>
    </row>
    <row r="66" spans="1:12" x14ac:dyDescent="0.35">
      <c r="B66" s="14" t="s">
        <v>76</v>
      </c>
      <c r="C66" s="18">
        <v>68216</v>
      </c>
      <c r="D66" s="18">
        <v>453</v>
      </c>
      <c r="E66" s="17">
        <v>0.01</v>
      </c>
      <c r="F66" s="18">
        <v>115</v>
      </c>
      <c r="G66" s="19">
        <v>1.6999999999999999E-3</v>
      </c>
      <c r="H66" s="18">
        <v>76</v>
      </c>
      <c r="I66" s="19">
        <v>1.1000000000000001E-3</v>
      </c>
    </row>
    <row r="67" spans="1:12" x14ac:dyDescent="0.35">
      <c r="B67" s="14" t="s">
        <v>77</v>
      </c>
      <c r="C67" s="18">
        <v>68588</v>
      </c>
      <c r="D67" s="18">
        <v>285</v>
      </c>
      <c r="E67" s="17">
        <v>0</v>
      </c>
      <c r="F67" s="18">
        <v>57</v>
      </c>
      <c r="G67" s="19">
        <v>8.0000000000000004E-4</v>
      </c>
      <c r="H67" s="18">
        <v>39</v>
      </c>
      <c r="I67" s="19">
        <v>5.9999999999999995E-4</v>
      </c>
    </row>
    <row r="68" spans="1:12" x14ac:dyDescent="0.35">
      <c r="B68" s="14" t="s">
        <v>78</v>
      </c>
      <c r="C68" s="18">
        <v>296154</v>
      </c>
      <c r="D68" s="18">
        <v>230458</v>
      </c>
      <c r="E68" s="17">
        <v>0.78</v>
      </c>
      <c r="F68" s="18">
        <v>9241</v>
      </c>
      <c r="G68" s="19">
        <v>3.1199999999999999E-2</v>
      </c>
      <c r="H68" s="18">
        <v>7435</v>
      </c>
      <c r="I68" s="19">
        <v>2.5100000000000001E-2</v>
      </c>
    </row>
    <row r="69" spans="1:12" x14ac:dyDescent="0.35">
      <c r="B69" s="14" t="s">
        <v>79</v>
      </c>
      <c r="C69" s="18">
        <v>531796</v>
      </c>
      <c r="D69" s="18">
        <v>235191</v>
      </c>
      <c r="E69" s="14" t="s">
        <v>48</v>
      </c>
      <c r="F69" s="18">
        <v>9786</v>
      </c>
      <c r="G69" s="19">
        <v>1.84E-2</v>
      </c>
      <c r="H69" s="18">
        <v>7794</v>
      </c>
      <c r="I69" s="19">
        <v>1.47E-2</v>
      </c>
    </row>
    <row r="70" spans="1:12" x14ac:dyDescent="0.35">
      <c r="A70" s="1"/>
      <c r="B70" s="2" t="s">
        <v>55</v>
      </c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5">
      <c r="B71" t="s">
        <v>80</v>
      </c>
    </row>
    <row r="72" spans="1:12" x14ac:dyDescent="0.35">
      <c r="B72" t="s">
        <v>81</v>
      </c>
    </row>
    <row r="73" spans="1:12" x14ac:dyDescent="0.35">
      <c r="B73" t="s">
        <v>82</v>
      </c>
    </row>
    <row r="74" spans="1:12" x14ac:dyDescent="0.35">
      <c r="B74" t="s">
        <v>83</v>
      </c>
    </row>
    <row r="75" spans="1:12" x14ac:dyDescent="0.35">
      <c r="B75" t="s">
        <v>84</v>
      </c>
    </row>
    <row r="76" spans="1:12" x14ac:dyDescent="0.35">
      <c r="B76" t="s">
        <v>85</v>
      </c>
    </row>
    <row r="77" spans="1:12" x14ac:dyDescent="0.35">
      <c r="B77" t="s">
        <v>86</v>
      </c>
    </row>
    <row r="78" spans="1:12" x14ac:dyDescent="0.35">
      <c r="B78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AVS</cp:lastModifiedBy>
  <dcterms:created xsi:type="dcterms:W3CDTF">2026-03-26T17:41:30Z</dcterms:created>
  <dcterms:modified xsi:type="dcterms:W3CDTF">2026-03-26T17:41:31Z</dcterms:modified>
</cp:coreProperties>
</file>