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-Adjusted 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;-0.0%;0.0%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95959"/>
      <sz val="10"/>
    </font>
    <font>
      <b val="1"/>
    </font>
    <font>
      <b val="1"/>
      <sz val="11"/>
    </font>
    <font>
      <b val="1"/>
      <color rgb="00FFFFFF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0051A5"/>
        <bgColor rgb="000051A5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PCQ Next Best Card — Mix-Adjusted Average Spend per Approved Account</t>
        </is>
      </c>
    </row>
    <row r="2" ht="24" customHeight="1">
      <c r="A2" s="2" t="inlineStr">
        <is>
          <t>All computed cells are live Excel formulas. Modify any input in the INPUT DATA block below and every downstream calculation updates.</t>
        </is>
      </c>
    </row>
    <row r="4">
      <c r="A4" s="3" t="inlineStr">
        <is>
          <t>INPUT DATA — per product (edit these cells to recompute)</t>
        </is>
      </c>
      <c r="B4" s="4" t="n"/>
      <c r="C4" s="4" t="n"/>
      <c r="D4" s="4" t="n"/>
      <c r="E4" s="4" t="n"/>
      <c r="F4" s="4" t="n"/>
      <c r="G4" s="5" t="n"/>
    </row>
    <row r="5">
      <c r="A5" s="6" t="inlineStr">
        <is>
          <t>Product</t>
        </is>
      </c>
      <c r="B5" s="6" t="inlineStr">
        <is>
          <t>1st approved</t>
        </is>
      </c>
      <c r="C5" s="6" t="inlineStr">
        <is>
          <t>2nd approved</t>
        </is>
      </c>
      <c r="D5" s="6" t="inlineStr">
        <is>
          <t>1st $/acct</t>
        </is>
      </c>
      <c r="E5" s="6" t="inlineStr">
        <is>
          <t>2nd $/acct</t>
        </is>
      </c>
      <c r="F5" s="6" t="inlineStr">
        <is>
          <t>Δ $ per product</t>
        </is>
      </c>
      <c r="G5" s="6" t="inlineStr">
        <is>
          <t>Δ % per product</t>
        </is>
      </c>
    </row>
    <row r="6">
      <c r="A6" s="7" t="inlineStr">
        <is>
          <t>CLO</t>
        </is>
      </c>
      <c r="B6" s="8" t="n">
        <v>685</v>
      </c>
      <c r="C6" s="8" t="n">
        <v>499</v>
      </c>
      <c r="D6" s="9" t="n">
        <v>9898</v>
      </c>
      <c r="E6" s="9" t="n">
        <v>6060</v>
      </c>
      <c r="F6" s="10">
        <f>E6-D6</f>
        <v/>
      </c>
      <c r="G6" s="11">
        <f>IF(D6=0,"",(E6-D6)/D6)</f>
        <v/>
      </c>
    </row>
    <row r="7">
      <c r="A7" s="7" t="inlineStr">
        <is>
          <t>GCP</t>
        </is>
      </c>
      <c r="B7" s="8" t="n">
        <v>119</v>
      </c>
      <c r="C7" s="8" t="n">
        <v>77</v>
      </c>
      <c r="D7" s="9" t="n">
        <v>12434</v>
      </c>
      <c r="E7" s="9" t="n">
        <v>11237</v>
      </c>
      <c r="F7" s="10">
        <f>E7-D7</f>
        <v/>
      </c>
      <c r="G7" s="11">
        <f>IF(D7=0,"",(E7-D7)/D7)</f>
        <v/>
      </c>
    </row>
    <row r="8">
      <c r="A8" s="7" t="inlineStr">
        <is>
          <t>IAV</t>
        </is>
      </c>
      <c r="B8" s="8" t="n">
        <v>1100</v>
      </c>
      <c r="C8" s="8" t="n">
        <v>214</v>
      </c>
      <c r="D8" s="9" t="n">
        <v>16918</v>
      </c>
      <c r="E8" s="9" t="n">
        <v>18228</v>
      </c>
      <c r="F8" s="10">
        <f>E8-D8</f>
        <v/>
      </c>
      <c r="G8" s="11">
        <f>IF(D8=0,"",(E8-D8)/D8)</f>
        <v/>
      </c>
    </row>
    <row r="9">
      <c r="A9" s="7" t="inlineStr">
        <is>
          <t>ION</t>
        </is>
      </c>
      <c r="B9" s="8" t="n">
        <v>605</v>
      </c>
      <c r="C9" s="8" t="n">
        <v>755</v>
      </c>
      <c r="D9" s="9" t="n">
        <v>7215</v>
      </c>
      <c r="E9" s="9" t="n">
        <v>8002</v>
      </c>
      <c r="F9" s="10">
        <f>E9-D9</f>
        <v/>
      </c>
      <c r="G9" s="11">
        <f>IF(D9=0,"",(E9-D9)/D9)</f>
        <v/>
      </c>
    </row>
    <row r="10">
      <c r="A10" s="7" t="inlineStr">
        <is>
          <t>IOP</t>
        </is>
      </c>
      <c r="B10" s="8" t="n">
        <v>754</v>
      </c>
      <c r="C10" s="8" t="n">
        <v>663</v>
      </c>
      <c r="D10" s="9" t="n">
        <v>10528</v>
      </c>
      <c r="E10" s="9" t="n">
        <v>10224</v>
      </c>
      <c r="F10" s="10">
        <f>E10-D10</f>
        <v/>
      </c>
      <c r="G10" s="11">
        <f>IF(D10=0,"",(E10-D10)/D10)</f>
        <v/>
      </c>
    </row>
    <row r="11">
      <c r="A11" s="7" t="inlineStr">
        <is>
          <t>MC1</t>
        </is>
      </c>
      <c r="B11" s="8" t="n">
        <v>227</v>
      </c>
      <c r="C11" s="8" t="n">
        <v>222</v>
      </c>
      <c r="D11" s="9" t="n">
        <v>6224</v>
      </c>
      <c r="E11" s="9" t="n">
        <v>5341</v>
      </c>
      <c r="F11" s="10">
        <f>E11-D11</f>
        <v/>
      </c>
      <c r="G11" s="11">
        <f>IF(D11=0,"",(E11-D11)/D11)</f>
        <v/>
      </c>
    </row>
    <row r="12">
      <c r="A12" s="7" t="inlineStr">
        <is>
          <t>MCP</t>
        </is>
      </c>
      <c r="B12" s="8" t="n">
        <v>1</v>
      </c>
      <c r="C12" s="8" t="n">
        <v>8</v>
      </c>
      <c r="D12" s="9" t="n">
        <v>0</v>
      </c>
      <c r="E12" s="9" t="n">
        <v>32154</v>
      </c>
      <c r="F12" s="10">
        <f>E12-D12</f>
        <v/>
      </c>
      <c r="G12" s="11">
        <f>IF(D12=0,"",(E12-D12)/D12)</f>
        <v/>
      </c>
    </row>
    <row r="13">
      <c r="A13" s="12" t="inlineStr">
        <is>
          <t>Total (raw weighted average)</t>
        </is>
      </c>
      <c r="B13" s="13">
        <f>SUM(B6:B12)</f>
        <v/>
      </c>
      <c r="C13" s="13">
        <f>SUM(C6:C12)</f>
        <v/>
      </c>
      <c r="D13" s="14">
        <f>SUMPRODUCT(B6:B12,D6:D12)/B13</f>
        <v/>
      </c>
      <c r="E13" s="14">
        <f>SUMPRODUCT(C6:C12,E6:E12)/C13</f>
        <v/>
      </c>
      <c r="F13" s="14">
        <f>E13-D13</f>
        <v/>
      </c>
      <c r="G13" s="15">
        <f>(E13-D13)/D13</f>
        <v/>
      </c>
    </row>
    <row r="16">
      <c r="A16" s="3" t="inlineStr">
        <is>
          <t>MIX-ADJUSTMENT #1 — reference = 1st-best product distribution</t>
        </is>
      </c>
      <c r="B16" s="4" t="n"/>
      <c r="C16" s="4" t="n"/>
      <c r="D16" s="4" t="n"/>
      <c r="E16" s="4" t="n"/>
      <c r="F16" s="4" t="n"/>
      <c r="G16" s="5" t="n"/>
    </row>
    <row r="17" ht="28" customHeight="1">
      <c r="A17" s="2" t="inlineStr">
        <is>
          <t>Question: "If 2nd-best customers had the same product distribution as 1st-best customers, what would their average spend per account be?"</t>
        </is>
      </c>
    </row>
    <row r="18">
      <c r="A18" s="6" t="inlineStr">
        <is>
          <t>Product</t>
        </is>
      </c>
      <c r="B18" s="6" t="inlineStr">
        <is>
          <t>1st-mix weight (ref)</t>
        </is>
      </c>
      <c r="C18" s="6" t="inlineStr">
        <is>
          <t>1st $/acct</t>
        </is>
      </c>
      <c r="D18" s="6" t="inlineStr">
        <is>
          <t>2nd $/acct</t>
        </is>
      </c>
      <c r="E18" s="6" t="inlineStr">
        <is>
          <t>weight × 1st $</t>
        </is>
      </c>
      <c r="F18" s="6" t="inlineStr">
        <is>
          <t>weight × 2nd $</t>
        </is>
      </c>
      <c r="G18" s="6" t="inlineStr"/>
    </row>
    <row r="19">
      <c r="A19" s="7">
        <f>A6</f>
        <v/>
      </c>
      <c r="B19" s="16">
        <f>B6</f>
        <v/>
      </c>
      <c r="C19" s="10">
        <f>D6</f>
        <v/>
      </c>
      <c r="D19" s="10">
        <f>E6</f>
        <v/>
      </c>
      <c r="E19" s="10">
        <f>B19*C19</f>
        <v/>
      </c>
      <c r="F19" s="10">
        <f>B19*D19</f>
        <v/>
      </c>
    </row>
    <row r="20">
      <c r="A20" s="7">
        <f>A7</f>
        <v/>
      </c>
      <c r="B20" s="16">
        <f>B7</f>
        <v/>
      </c>
      <c r="C20" s="10">
        <f>D7</f>
        <v/>
      </c>
      <c r="D20" s="10">
        <f>E7</f>
        <v/>
      </c>
      <c r="E20" s="10">
        <f>B20*C20</f>
        <v/>
      </c>
      <c r="F20" s="10">
        <f>B20*D20</f>
        <v/>
      </c>
    </row>
    <row r="21">
      <c r="A21" s="7">
        <f>A8</f>
        <v/>
      </c>
      <c r="B21" s="16">
        <f>B8</f>
        <v/>
      </c>
      <c r="C21" s="10">
        <f>D8</f>
        <v/>
      </c>
      <c r="D21" s="10">
        <f>E8</f>
        <v/>
      </c>
      <c r="E21" s="10">
        <f>B21*C21</f>
        <v/>
      </c>
      <c r="F21" s="10">
        <f>B21*D21</f>
        <v/>
      </c>
    </row>
    <row r="22">
      <c r="A22" s="7">
        <f>A9</f>
        <v/>
      </c>
      <c r="B22" s="16">
        <f>B9</f>
        <v/>
      </c>
      <c r="C22" s="10">
        <f>D9</f>
        <v/>
      </c>
      <c r="D22" s="10">
        <f>E9</f>
        <v/>
      </c>
      <c r="E22" s="10">
        <f>B22*C22</f>
        <v/>
      </c>
      <c r="F22" s="10">
        <f>B22*D22</f>
        <v/>
      </c>
    </row>
    <row r="23">
      <c r="A23" s="7">
        <f>A10</f>
        <v/>
      </c>
      <c r="B23" s="16">
        <f>B10</f>
        <v/>
      </c>
      <c r="C23" s="10">
        <f>D10</f>
        <v/>
      </c>
      <c r="D23" s="10">
        <f>E10</f>
        <v/>
      </c>
      <c r="E23" s="10">
        <f>B23*C23</f>
        <v/>
      </c>
      <c r="F23" s="10">
        <f>B23*D23</f>
        <v/>
      </c>
    </row>
    <row r="24">
      <c r="A24" s="7">
        <f>A11</f>
        <v/>
      </c>
      <c r="B24" s="16">
        <f>B11</f>
        <v/>
      </c>
      <c r="C24" s="10">
        <f>D11</f>
        <v/>
      </c>
      <c r="D24" s="10">
        <f>E11</f>
        <v/>
      </c>
      <c r="E24" s="10">
        <f>B24*C24</f>
        <v/>
      </c>
      <c r="F24" s="10">
        <f>B24*D24</f>
        <v/>
      </c>
    </row>
    <row r="25">
      <c r="A25" s="7">
        <f>A12</f>
        <v/>
      </c>
      <c r="B25" s="16">
        <f>B12</f>
        <v/>
      </c>
      <c r="C25" s="10">
        <f>D12</f>
        <v/>
      </c>
      <c r="D25" s="10">
        <f>E12</f>
        <v/>
      </c>
      <c r="E25" s="10">
        <f>B25*C25</f>
        <v/>
      </c>
      <c r="F25" s="10">
        <f>B25*D25</f>
        <v/>
      </c>
    </row>
    <row r="26">
      <c r="A26" s="12" t="inlineStr">
        <is>
          <t>Sum</t>
        </is>
      </c>
      <c r="B26" s="13">
        <f>SUM(B19:B25)</f>
        <v/>
      </c>
      <c r="C26" s="17" t="inlineStr">
        <is>
          <t>—</t>
        </is>
      </c>
      <c r="D26" s="17" t="inlineStr">
        <is>
          <t>—</t>
        </is>
      </c>
      <c r="E26" s="14">
        <f>SUM(E19:E25)</f>
        <v/>
      </c>
      <c r="F26" s="14">
        <f>SUM(F19:F25)</f>
        <v/>
      </c>
    </row>
    <row r="28">
      <c r="A28" s="18" t="inlineStr">
        <is>
          <t>RESULT — mix-adjustment #1</t>
        </is>
      </c>
      <c r="B28" s="4" t="n"/>
      <c r="C28" s="4" t="n"/>
      <c r="D28" s="4" t="n"/>
      <c r="E28" s="4" t="n"/>
      <c r="F28" s="4" t="n"/>
      <c r="G28" s="5" t="n"/>
    </row>
    <row r="29">
      <c r="A29" s="6" t="inlineStr"/>
      <c r="B29" s="6" t="inlineStr">
        <is>
          <t>1st best</t>
        </is>
      </c>
      <c r="C29" s="6" t="inlineStr">
        <is>
          <t>2nd best</t>
        </is>
      </c>
      <c r="D29" s="6" t="inlineStr">
        <is>
          <t>Δ $</t>
        </is>
      </c>
      <c r="E29" s="6" t="inlineStr">
        <is>
          <t>Δ %</t>
        </is>
      </c>
      <c r="F29" s="6" t="inlineStr"/>
      <c r="G29" s="6" t="inlineStr"/>
    </row>
    <row r="30">
      <c r="A30" s="7" t="inlineStr">
        <is>
          <t>Raw avg spend per approved</t>
        </is>
      </c>
      <c r="B30" s="10">
        <f>D13</f>
        <v/>
      </c>
      <c r="C30" s="10">
        <f>E13</f>
        <v/>
      </c>
      <c r="D30" s="10">
        <f>C30-B30</f>
        <v/>
      </c>
      <c r="E30" s="11">
        <f>(C30-B30)/B30</f>
        <v/>
      </c>
    </row>
    <row r="31">
      <c r="A31" s="18" t="inlineStr">
        <is>
          <t>Mix-adjusted (2nd-best $ × 1st-best mix)</t>
        </is>
      </c>
      <c r="B31" s="19">
        <f>E26/B26</f>
        <v/>
      </c>
      <c r="C31" s="19">
        <f>F26/B26</f>
        <v/>
      </c>
      <c r="D31" s="19">
        <f>C31-B31</f>
        <v/>
      </c>
      <c r="E31" s="20">
        <f>(C31-B31)/B31</f>
        <v/>
      </c>
    </row>
    <row r="34">
      <c r="A34" s="3" t="inlineStr">
        <is>
          <t>MIX-ADJUSTMENT #2 — reference = 2nd-best product distribution</t>
        </is>
      </c>
      <c r="B34" s="4" t="n"/>
      <c r="C34" s="4" t="n"/>
      <c r="D34" s="4" t="n"/>
      <c r="E34" s="4" t="n"/>
      <c r="F34" s="4" t="n"/>
      <c r="G34" s="5" t="n"/>
    </row>
    <row r="35" ht="28" customHeight="1">
      <c r="A35" s="2" t="inlineStr">
        <is>
          <t>Question: "If 1st-best customers had the same product distribution as 2nd-best customers, what would their average spend per account be?"</t>
        </is>
      </c>
    </row>
    <row r="36">
      <c r="A36" s="6" t="inlineStr">
        <is>
          <t>Product</t>
        </is>
      </c>
      <c r="B36" s="6" t="inlineStr">
        <is>
          <t>2nd-mix weight (ref)</t>
        </is>
      </c>
      <c r="C36" s="6" t="inlineStr">
        <is>
          <t>1st $/acct</t>
        </is>
      </c>
      <c r="D36" s="6" t="inlineStr">
        <is>
          <t>2nd $/acct</t>
        </is>
      </c>
      <c r="E36" s="6" t="inlineStr">
        <is>
          <t>weight × 1st $</t>
        </is>
      </c>
      <c r="F36" s="6" t="inlineStr">
        <is>
          <t>weight × 2nd $</t>
        </is>
      </c>
      <c r="G36" s="6" t="inlineStr"/>
    </row>
    <row r="37">
      <c r="A37" s="7">
        <f>A6</f>
        <v/>
      </c>
      <c r="B37" s="16">
        <f>C6</f>
        <v/>
      </c>
      <c r="C37" s="10">
        <f>D6</f>
        <v/>
      </c>
      <c r="D37" s="10">
        <f>E6</f>
        <v/>
      </c>
      <c r="E37" s="10">
        <f>B37*C37</f>
        <v/>
      </c>
      <c r="F37" s="10">
        <f>B37*D37</f>
        <v/>
      </c>
    </row>
    <row r="38">
      <c r="A38" s="7">
        <f>A7</f>
        <v/>
      </c>
      <c r="B38" s="16">
        <f>C7</f>
        <v/>
      </c>
      <c r="C38" s="10">
        <f>D7</f>
        <v/>
      </c>
      <c r="D38" s="10">
        <f>E7</f>
        <v/>
      </c>
      <c r="E38" s="10">
        <f>B38*C38</f>
        <v/>
      </c>
      <c r="F38" s="10">
        <f>B38*D38</f>
        <v/>
      </c>
    </row>
    <row r="39">
      <c r="A39" s="7">
        <f>A8</f>
        <v/>
      </c>
      <c r="B39" s="16">
        <f>C8</f>
        <v/>
      </c>
      <c r="C39" s="10">
        <f>D8</f>
        <v/>
      </c>
      <c r="D39" s="10">
        <f>E8</f>
        <v/>
      </c>
      <c r="E39" s="10">
        <f>B39*C39</f>
        <v/>
      </c>
      <c r="F39" s="10">
        <f>B39*D39</f>
        <v/>
      </c>
    </row>
    <row r="40">
      <c r="A40" s="7">
        <f>A9</f>
        <v/>
      </c>
      <c r="B40" s="16">
        <f>C9</f>
        <v/>
      </c>
      <c r="C40" s="10">
        <f>D9</f>
        <v/>
      </c>
      <c r="D40" s="10">
        <f>E9</f>
        <v/>
      </c>
      <c r="E40" s="10">
        <f>B40*C40</f>
        <v/>
      </c>
      <c r="F40" s="10">
        <f>B40*D40</f>
        <v/>
      </c>
    </row>
    <row r="41">
      <c r="A41" s="7">
        <f>A10</f>
        <v/>
      </c>
      <c r="B41" s="16">
        <f>C10</f>
        <v/>
      </c>
      <c r="C41" s="10">
        <f>D10</f>
        <v/>
      </c>
      <c r="D41" s="10">
        <f>E10</f>
        <v/>
      </c>
      <c r="E41" s="10">
        <f>B41*C41</f>
        <v/>
      </c>
      <c r="F41" s="10">
        <f>B41*D41</f>
        <v/>
      </c>
    </row>
    <row r="42">
      <c r="A42" s="7">
        <f>A11</f>
        <v/>
      </c>
      <c r="B42" s="16">
        <f>C11</f>
        <v/>
      </c>
      <c r="C42" s="10">
        <f>D11</f>
        <v/>
      </c>
      <c r="D42" s="10">
        <f>E11</f>
        <v/>
      </c>
      <c r="E42" s="10">
        <f>B42*C42</f>
        <v/>
      </c>
      <c r="F42" s="10">
        <f>B42*D42</f>
        <v/>
      </c>
    </row>
    <row r="43">
      <c r="A43" s="7">
        <f>A12</f>
        <v/>
      </c>
      <c r="B43" s="16">
        <f>C12</f>
        <v/>
      </c>
      <c r="C43" s="10">
        <f>D12</f>
        <v/>
      </c>
      <c r="D43" s="10">
        <f>E12</f>
        <v/>
      </c>
      <c r="E43" s="10">
        <f>B43*C43</f>
        <v/>
      </c>
      <c r="F43" s="10">
        <f>B43*D43</f>
        <v/>
      </c>
    </row>
    <row r="44">
      <c r="A44" s="12" t="inlineStr">
        <is>
          <t>Sum</t>
        </is>
      </c>
      <c r="B44" s="13">
        <f>SUM(B37:B43)</f>
        <v/>
      </c>
      <c r="C44" s="17" t="inlineStr">
        <is>
          <t>—</t>
        </is>
      </c>
      <c r="D44" s="17" t="inlineStr">
        <is>
          <t>—</t>
        </is>
      </c>
      <c r="E44" s="14">
        <f>SUM(E37:E43)</f>
        <v/>
      </c>
      <c r="F44" s="14">
        <f>SUM(F37:F43)</f>
        <v/>
      </c>
    </row>
    <row r="46">
      <c r="A46" s="18" t="inlineStr">
        <is>
          <t>RESULT — mix-adjustment #2</t>
        </is>
      </c>
      <c r="B46" s="4" t="n"/>
      <c r="C46" s="4" t="n"/>
      <c r="D46" s="4" t="n"/>
      <c r="E46" s="4" t="n"/>
      <c r="F46" s="4" t="n"/>
      <c r="G46" s="5" t="n"/>
    </row>
    <row r="47">
      <c r="A47" s="6" t="inlineStr"/>
      <c r="B47" s="6" t="inlineStr">
        <is>
          <t>1st best</t>
        </is>
      </c>
      <c r="C47" s="6" t="inlineStr">
        <is>
          <t>2nd best</t>
        </is>
      </c>
      <c r="D47" s="6" t="inlineStr">
        <is>
          <t>Δ $</t>
        </is>
      </c>
      <c r="E47" s="6" t="inlineStr">
        <is>
          <t>Δ %</t>
        </is>
      </c>
      <c r="F47" s="6" t="inlineStr"/>
      <c r="G47" s="6" t="inlineStr"/>
    </row>
    <row r="48">
      <c r="A48" s="7" t="inlineStr">
        <is>
          <t>Raw avg spend per approved</t>
        </is>
      </c>
      <c r="B48" s="10">
        <f>D13</f>
        <v/>
      </c>
      <c r="C48" s="10">
        <f>E13</f>
        <v/>
      </c>
      <c r="D48" s="10">
        <f>C48-B48</f>
        <v/>
      </c>
      <c r="E48" s="11">
        <f>(C48-B48)/B48</f>
        <v/>
      </c>
    </row>
    <row r="49">
      <c r="A49" s="18" t="inlineStr">
        <is>
          <t>Mix-adjusted (1st-best $ × 2nd-best mix)</t>
        </is>
      </c>
      <c r="B49" s="19">
        <f>E44/B44</f>
        <v/>
      </c>
      <c r="C49" s="19">
        <f>F44/B44</f>
        <v/>
      </c>
      <c r="D49" s="19">
        <f>C49-B49</f>
        <v/>
      </c>
      <c r="E49" s="20">
        <f>(C49-B49)/B49</f>
        <v/>
      </c>
    </row>
    <row r="52">
      <c r="A52" s="3" t="inlineStr">
        <is>
          <t>SUMMARY — three ways to compute the avg-spend gap</t>
        </is>
      </c>
      <c r="B52" s="4" t="n"/>
      <c r="C52" s="4" t="n"/>
      <c r="D52" s="4" t="n"/>
      <c r="E52" s="4" t="n"/>
      <c r="F52" s="4" t="n"/>
      <c r="G52" s="5" t="n"/>
    </row>
    <row r="53">
      <c r="A53" s="6" t="inlineStr">
        <is>
          <t>Calculation</t>
        </is>
      </c>
      <c r="B53" s="6" t="inlineStr">
        <is>
          <t>1st best</t>
        </is>
      </c>
      <c r="C53" s="6" t="inlineStr">
        <is>
          <t>2nd best</t>
        </is>
      </c>
      <c r="D53" s="6" t="inlineStr">
        <is>
          <t>Δ $</t>
        </is>
      </c>
      <c r="E53" s="6" t="inlineStr">
        <is>
          <t>Δ %</t>
        </is>
      </c>
      <c r="F53" s="6" t="inlineStr"/>
      <c r="G53" s="6" t="inlineStr"/>
    </row>
    <row r="54">
      <c r="A54" s="7" t="inlineStr">
        <is>
          <t>Raw (no mix adjustment)</t>
        </is>
      </c>
      <c r="B54" s="10">
        <f>D13</f>
        <v/>
      </c>
      <c r="C54" s="10">
        <f>E13</f>
        <v/>
      </c>
      <c r="D54" s="10">
        <f>C54-B54</f>
        <v/>
      </c>
      <c r="E54" s="11">
        <f>(C54-B54)/B54</f>
        <v/>
      </c>
    </row>
    <row r="55">
      <c r="A55" s="7" t="inlineStr">
        <is>
          <t>Mix-adjusted #1 (2nd $ × 1st mix)</t>
        </is>
      </c>
      <c r="B55" s="10">
        <f>B31</f>
        <v/>
      </c>
      <c r="C55" s="10">
        <f>C31</f>
        <v/>
      </c>
      <c r="D55" s="10">
        <f>C55-B55</f>
        <v/>
      </c>
      <c r="E55" s="11">
        <f>(C55-B55)/B55</f>
        <v/>
      </c>
    </row>
    <row r="56">
      <c r="A56" s="7" t="inlineStr">
        <is>
          <t>Mix-adjusted #2 (1st $ × 2nd mix)</t>
        </is>
      </c>
      <c r="B56" s="10">
        <f>B49</f>
        <v/>
      </c>
      <c r="C56" s="10">
        <f>C49</f>
        <v/>
      </c>
      <c r="D56" s="10">
        <f>C56-B56</f>
        <v/>
      </c>
      <c r="E56" s="11">
        <f>(C56-B56)/B56</f>
        <v/>
      </c>
    </row>
    <row r="59">
      <c r="A59" s="3" t="inlineStr">
        <is>
          <t>FORMULA GLOSSARY — how each calculation is built</t>
        </is>
      </c>
      <c r="B59" s="4" t="n"/>
      <c r="C59" s="4" t="n"/>
      <c r="D59" s="4" t="n"/>
      <c r="E59" s="4" t="n"/>
      <c r="F59" s="4" t="n"/>
      <c r="G59" s="5" t="n"/>
    </row>
    <row r="60" ht="18" customHeight="1">
      <c r="A60" s="21" t="inlineStr">
        <is>
          <t>Raw weighted average (per group)</t>
        </is>
      </c>
      <c r="C60" s="22">
        <f> SUMPRODUCT(approved_counts, $_per_acct) / SUM(approved_counts)</f>
        <v/>
      </c>
    </row>
    <row r="61" ht="54" customHeight="1">
      <c r="A61" s="23" t="inlineStr">
        <is>
          <t xml:space="preserve">  Intuition</t>
        </is>
      </c>
      <c r="C61" s="22" t="inlineStr">
        <is>
          <t>For each product, multiply the number of approved accounts by the $/acct, sum across products, divide by total approved. Each approved account contributes once.</t>
        </is>
      </c>
    </row>
    <row r="63" ht="18" customHeight="1">
      <c r="A63" s="21" t="inlineStr">
        <is>
          <t>Mix-adjustment #1 (2nd $ × 1st mix)</t>
        </is>
      </c>
      <c r="C63" s="22">
        <f> SUMPRODUCT(1st_approved_counts, 2nd_$_per_acct) / SUM(1st_approved_counts)</f>
        <v/>
      </c>
    </row>
    <row r="64" ht="54" customHeight="1">
      <c r="A64" s="23" t="inlineStr">
        <is>
          <t xml:space="preserve">  Intuition</t>
        </is>
      </c>
      <c r="C64" s="22" t="inlineStr">
        <is>
          <t>Weight the 2nd-best per-product spend by the 1st-best product mix. This tells you what the 2nd-best group WOULD have spent per account if the product distribution had matched the 1st-best group. Isolates per-customer behavior from mix.</t>
        </is>
      </c>
    </row>
    <row r="66" ht="18" customHeight="1">
      <c r="A66" s="21" t="inlineStr">
        <is>
          <t>Mix-adjustment #2 (1st $ × 2nd mix)</t>
        </is>
      </c>
      <c r="C66" s="22">
        <f> SUMPRODUCT(2nd_approved_counts, 1st_$_per_acct) / SUM(2nd_approved_counts)</f>
        <v/>
      </c>
    </row>
    <row r="67" ht="72" customHeight="1">
      <c r="A67" s="23" t="inlineStr">
        <is>
          <t xml:space="preserve">  Intuition</t>
        </is>
      </c>
      <c r="C67" s="22" t="inlineStr">
        <is>
          <t>Symmetric version. Weight the 1st-best per-product spend by the 2nd-best product mix. Tells you what the 1st-best group would have spent if the product distribution had matched the 2nd-best group. The two adjustments bracket the true per-customer effect.</t>
        </is>
      </c>
    </row>
    <row r="69" ht="54" customHeight="1">
      <c r="A69" s="21" t="inlineStr">
        <is>
          <t>Why both directions matter</t>
        </is>
      </c>
      <c r="C69" s="22" t="inlineStr">
        <is>
          <t>The two methods give slightly different numbers because the reference mix is different. Both are valid. Reporting the range (-3% to -5%) is more honest than picking one.</t>
        </is>
      </c>
    </row>
    <row r="71" ht="90" customHeight="1">
      <c r="A71" s="21" t="inlineStr">
        <is>
          <t>Reading the raw -22% in context</t>
        </is>
      </c>
      <c r="C71" s="22" t="inlineStr">
        <is>
          <t>The raw aggregate gap mixes two effects: (a) per-customer spend differences at the product level, and (b) product-mix shifts between groups. The mix-adjusted calculations separate them. Raw -22% = mostly (b), not (a). At the product level, per-customer spend is roughly flat (IAV and ION actually UP in the 2nd-best slot).</t>
        </is>
      </c>
    </row>
  </sheetData>
  <mergeCells count="27">
    <mergeCell ref="A17:G17"/>
    <mergeCell ref="A64:B64"/>
    <mergeCell ref="A60:B60"/>
    <mergeCell ref="A35:G35"/>
    <mergeCell ref="A4:G4"/>
    <mergeCell ref="A52:G52"/>
    <mergeCell ref="A61:B61"/>
    <mergeCell ref="C64:G64"/>
    <mergeCell ref="A28:G28"/>
    <mergeCell ref="A69:B69"/>
    <mergeCell ref="A34:G34"/>
    <mergeCell ref="C63:G63"/>
    <mergeCell ref="A66:B66"/>
    <mergeCell ref="A59:G59"/>
    <mergeCell ref="A1:G1"/>
    <mergeCell ref="A71:B71"/>
    <mergeCell ref="C60:G60"/>
    <mergeCell ref="C71:G71"/>
    <mergeCell ref="A16:G16"/>
    <mergeCell ref="C61:G61"/>
    <mergeCell ref="A46:G46"/>
    <mergeCell ref="C67:G67"/>
    <mergeCell ref="A63:B63"/>
    <mergeCell ref="C66:G66"/>
    <mergeCell ref="A2:G2"/>
    <mergeCell ref="A67:B67"/>
    <mergeCell ref="C69:G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2026-04-15T01:53:41Z</dcterms:created>
  <dcterms:modified xmlns:dcterms="http://purl.org/dc/terms/" xmlns:xsi="http://www.w3.org/2001/XMLSchema-instance" xsi:type="dcterms:W3CDTF">2026-04-15T01:53:41Z</dcterms:modified>
</cp:coreProperties>
</file>