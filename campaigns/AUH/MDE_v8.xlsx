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DE Calcula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<sst xmlns="http://schemas.openxmlformats.org/spreadsheetml/2006/main" count="104" uniqueCount="92">
  <si>
    <t xml:space="preserve">── POPULATION ──</t>
  </si>
  <si>
    <t xml:space="preserve">── ARM SPLIT ──</t>
  </si>
  <si>
    <t xml:space="preserve">── MODEL DIST. ──</t>
  </si>
  <si>
    <t xml:space="preserve">── CONTROL % ──</t>
  </si>
  <si>
    <t xml:space="preserve">── STAT PARAMS ──</t>
  </si>
  <si>
    <t xml:space="preserve">── Za / Zβ ──</t>
  </si>
  <si>
    <t xml:space="preserve">Total pop</t>
  </si>
  <si>
    <t xml:space="preserve">Baseline p₀</t>
  </si>
  <si>
    <t xml:space="preserve">Arm 1 %
(Com+Offer)</t>
  </si>
  <si>
    <t xml:space="preserve">Arm 2 %
(auto)</t>
  </si>
  <si>
    <t xml:space="preserve">Web %</t>
  </si>
  <si>
    <t xml:space="preserve">Score %</t>
  </si>
  <si>
    <t xml:space="preserve">Random %</t>
  </si>
  <si>
    <t xml:space="preserve">Control %
(all cells)</t>
  </si>
  <si>
    <t xml:space="preserve">Alpha</t>
  </si>
  <si>
    <t xml:space="preserve">Power</t>
  </si>
  <si>
    <t xml:space="preserve">Sum check</t>
  </si>
  <si>
    <t xml:space="preserve">Zα/2
(auto)</t>
  </si>
  <si>
    <t xml:space="preserve">Zβ
(auto)</t>
  </si>
  <si>
    <t xml:space="preserve">EXPECTED LIFT PER CELL (editable — used in MDE &amp; power calculations)</t>
  </si>
  <si>
    <t xml:space="preserve">Arm 1
Web lift</t>
  </si>
  <si>
    <t xml:space="preserve">Arm 1
Score lift</t>
  </si>
  <si>
    <t xml:space="preserve">Arm 1
Random lift</t>
  </si>
  <si>
    <t xml:space="preserve">Arm 2
Web lift</t>
  </si>
  <si>
    <t xml:space="preserve">Arm 2
Score lift</t>
  </si>
  <si>
    <t xml:space="preserve">Arm 2
Random lift</t>
  </si>
  <si>
    <t xml:space="preserve">Arm 1
overall lift</t>
  </si>
  <si>
    <t xml:space="preserve">Arm 2
overall lift</t>
  </si>
  <si>
    <t xml:space="preserve">Expected lift</t>
  </si>
  <si>
    <t xml:space="preserve">POPULATION BREAKDOWN  —  Total → Arm → Model → Treatment / Control</t>
  </si>
  <si>
    <t xml:space="preserve">Level</t>
  </si>
  <si>
    <t xml:space="preserve">n</t>
  </si>
  <si>
    <t xml:space="preserve">% of total</t>
  </si>
  <si>
    <t xml:space="preserve">% of arm</t>
  </si>
  <si>
    <t xml:space="preserve">Treatment n</t>
  </si>
  <si>
    <t xml:space="preserve">Control n</t>
  </si>
  <si>
    <t xml:space="preserve">Ctrl %
(check)</t>
  </si>
  <si>
    <t xml:space="preserve">Total population</t>
  </si>
  <si>
    <t xml:space="preserve">—</t>
  </si>
  <si>
    <t xml:space="preserve">Arm 1 — Com+Offer  (communication + offer incentive)</t>
  </si>
  <si>
    <t xml:space="preserve">  Web</t>
  </si>
  <si>
    <t xml:space="preserve">  Score</t>
  </si>
  <si>
    <t xml:space="preserve">  Random</t>
  </si>
  <si>
    <t xml:space="preserve">Arm 2 — Com Only   (communication only, no offer)</t>
  </si>
  <si>
    <t xml:space="preserve">TOTAL — Treatment</t>
  </si>
  <si>
    <t xml:space="preserve">POWER &amp; MDE — ALL COMPARISONS  |  MDE = (Zα/2+Zβ)×√[p₀(1−p₀)×(1/n_treat+1/n_ctrl)]  |  Green = powered  |  Red = underpowered</t>
  </si>
  <si>
    <t xml:space="preserve">Comparison</t>
  </si>
  <si>
    <t xml:space="preserve">n Treatment</t>
  </si>
  <si>
    <t xml:space="preserve">n Control</t>
  </si>
  <si>
    <t xml:space="preserve">p₀
(baseline)</t>
  </si>
  <si>
    <t xml:space="preserve">Expected
lift / delta
(see note ⚠)</t>
  </si>
  <si>
    <t xml:space="preserve">MDE
(actual)</t>
  </si>
  <si>
    <t xml:space="preserve">Min n needed
(smaller group
at your ctrl %)</t>
  </si>
  <si>
    <t xml:space="preserve">Powered?
(actual smaller
group ≥ min n?)</t>
  </si>
  <si>
    <t xml:space="preserve">Action</t>
  </si>
  <si>
    <t xml:space="preserve">LEVEL 1 — OVERALL ARM  |  H1: Did Arm 1 (Com+Offer) campaign drive AU adoption vs doing nothing?  H2: Did Arm 2 (Com Only) campaign drive AU adoption vs doing nothing?  H3: Did adding an offer (Arm 1) outperform communication alone (Arm 2)?</t>
  </si>
  <si>
    <t xml:space="preserve">Arm 1 (Com+Offer) — all treatment  vs  Arm 2 (Com Only) — all treatment  →  overall offer lift</t>
  </si>
  <si>
    <t xml:space="preserve">Arm 1 (Com+Offer) — all treatment  vs  Arm 1 — all control (no contact)  →  did Arm 1 campaign work?</t>
  </si>
  <si>
    <t xml:space="preserve">Arm 2 (Com Only)  — all treatment  vs  Arm 2 — all control (no contact)  →  did Arm 2 campaign work?</t>
  </si>
  <si>
    <t xml:space="preserve">LEVEL 2a — ARM 1 CELL-LEVEL  (Com+Offer)  |  H4–H6: Within each model segment, did Arm 1 treatment clients adopt AU at a higher rate than Arm 1 control clients who received nothing?</t>
  </si>
  <si>
    <t xml:space="preserve">Arm 1 (Com+Offer) — Web treatment       vs  Arm 1 — Web control (no contact)</t>
  </si>
  <si>
    <t xml:space="preserve">Arm 1 (Com+Offer) — Score treatment      vs  Arm 1 — Score control (no contact)</t>
  </si>
  <si>
    <t xml:space="preserve">Arm 1 (Com+Offer) — Random treatment     vs  Arm 1 — Random control (no contact)</t>
  </si>
  <si>
    <t xml:space="preserve">LEVEL 2b — ARM 2 CELL-LEVEL  (Com Only)  |  H7–H9: Within each model segment, did Arm 2 treatment clients adopt AU at a higher rate than Arm 2 control clients who received nothing?</t>
  </si>
  <si>
    <t xml:space="preserve">Arm 2 (Com Only)  — Web treatment        vs  Arm 2 — Web control (no contact)</t>
  </si>
  <si>
    <t xml:space="preserve">Arm 2 (Com Only)  — Score treatment       vs  Arm 2 — Score control (no contact)</t>
  </si>
  <si>
    <t xml:space="preserve">Arm 2 (Com Only)  — Random treatment      vs  Arm 2 — Random control (no contact)</t>
  </si>
  <si>
    <t xml:space="preserve">LEVEL 3 — INCREMENTAL OFFER LIFT BY MODEL  |  H10–H12: Within the same model segment, did the offer (Arm 1) produce INCREMENTAL lift above communication alone (Arm 2)? ⚠ Lift input = expected DIFFERENCE between Arm 1 and Arm 2 response rates, not absolute lift.</t>
  </si>
  <si>
    <t xml:space="preserve">Web model:    Arm 1 (Com+Offer) treatment  vs  Arm 2 (Com Only) treatment  →  offer lift for Web clients</t>
  </si>
  <si>
    <t xml:space="preserve">Score model:  Arm 1 (Com+Offer) treatment  vs  Arm 2 (Com Only) treatment  →  offer lift for Score clients</t>
  </si>
  <si>
    <t xml:space="preserve">Random:       Arm 1 (Com+Offer) treatment  vs  Arm 2 (Com Only) treatment  →  offer lift for Random clients</t>
  </si>
  <si>
    <t xml:space="preserve">LEVEL 4 — MODEL SELECTION QUALITY  (within treatment only)  |  H13–H16: Did Web / Score model selection produce higher AU adoption than pure random selection — measured within treatment groups only, not vs control? ⚠ Lift input = expected DIFFERENCE between model and random response rates.</t>
  </si>
  <si>
    <t xml:space="preserve">Arm 1 — Web treatment  vs  Arm 1 — Random treatment  →  did Web model select better clients?</t>
  </si>
  <si>
    <t xml:space="preserve">Arm 1 — Score treatment  vs  Arm 1 — Random treatment  →  did Score model select better clients?</t>
  </si>
  <si>
    <t xml:space="preserve">Arm 2 — Web treatment  vs  Arm 2 — Random treatment  →  did Web model select better clients?</t>
  </si>
  <si>
    <t xml:space="preserve">Arm 2 — Score treatment  vs  Arm 2 — Random treatment  →  did Score model select better clients?</t>
  </si>
  <si>
    <t xml:space="preserve">BOTTLENECK  —  Feasibility per cell. Change Power (K5), Lift (row 9), or Arm split (D5) to see impact.</t>
  </si>
  <si>
    <t xml:space="preserve">Cell</t>
  </si>
  <si>
    <t xml:space="preserve">Expected
lift</t>
  </si>
  <si>
    <t xml:space="preserve">Cell
total n</t>
  </si>
  <si>
    <t xml:space="preserve">Req n
per group</t>
  </si>
  <si>
    <t xml:space="preserve">Min pop
(2×req n)</t>
  </si>
  <si>
    <t xml:space="preserve">Feasible?
(need 2×req)</t>
  </si>
  <si>
    <t xml:space="preserve">MDE at
current ctrl%</t>
  </si>
  <si>
    <t xml:space="preserve">MDE at
50% ctrl</t>
  </si>
  <si>
    <t xml:space="preserve">Status</t>
  </si>
  <si>
    <t xml:space="preserve">Arm1 — Web</t>
  </si>
  <si>
    <t xml:space="preserve">Arm1 — Score</t>
  </si>
  <si>
    <t xml:space="preserve">Arm1 — Random</t>
  </si>
  <si>
    <t xml:space="preserve">Arm2 — Web</t>
  </si>
  <si>
    <t xml:space="preserve">Arm2 — Score</t>
  </si>
  <si>
    <t xml:space="preserve">Arm2 — Random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</si>
</sst>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%"/>
    <numFmt numFmtId="167" formatCode="0%"/>
    <numFmt numFmtId="168" formatCode="0.0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7B3F00"/>
      <name val="Arial"/>
      <family val="0"/>
      <charset val="1"/>
    </font>
    <font>
      <b val="true"/>
      <sz val="10"/>
      <color rgb="FF0000CD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10"/>
      <color rgb="FF37562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5F5F5"/>
      </patternFill>
    </fill>
    <fill>
      <patternFill patternType="solid">
        <fgColor rgb="FFD6E4F0"/>
        <bgColor rgb="FFDEEAF1"/>
      </patternFill>
    </fill>
    <fill>
      <patternFill patternType="solid">
        <fgColor rgb="FFDEEAF1"/>
        <bgColor rgb="FFD6E4F0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CE4D6"/>
      </patternFill>
    </fill>
    <fill>
      <patternFill patternType="solid">
        <fgColor rgb="FFD9D9D9"/>
        <bgColor rgb="FFD6E4F0"/>
      </patternFill>
    </fill>
    <fill>
      <patternFill patternType="solid">
        <fgColor rgb="FFEBF3FF"/>
        <bgColor rgb="FFF5F5F5"/>
      </patternFill>
    </fill>
    <fill>
      <patternFill patternType="solid">
        <fgColor rgb="FFF5F5F5"/>
        <bgColor rgb="FFEBF3FF"/>
      </patternFill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  <fill>
      <patternFill patternType="solid">
        <fgColor rgb="FF2E75B6"/>
        <bgColor rgb="FF0066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333333"/>
      </left>
      <right/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7A9CC4"/>
      </left>
      <right style="thin">
        <color rgb="FF7A9CC4"/>
      </right>
      <top style="thin">
        <color rgb="FF7A9CC4"/>
      </top>
      <bottom style="thin">
        <color rgb="FF7A9CC4"/>
      </bottom>
      <diagonal/>
    </border>
    <border diagonalUp="false" diagonalDown="false"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C00000"/>
        <sz val="10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7B3F00"/>
        <sz val="10"/>
      </font>
      <fill>
        <patternFill>
          <bgColor rgb="FFFFF2CC"/>
        </patternFill>
      </fill>
    </dxf>
  </dxfs>
  <colors>
    <indexedColors>
      <rgbColor rgb="FF000000"/>
      <rgbColor rgb="FFFFFFFF"/>
      <rgbColor rgb="FFC00000"/>
      <rgbColor rgb="FF00FF00"/>
      <rgbColor rgb="FF0000CD"/>
      <rgbColor rgb="FFF5F5F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EBF3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C6EFCE"/>
      <rgbColor rgb="FFFCE4D6"/>
      <rgbColor rgb="FFD6E4F0"/>
      <rgbColor rgb="FFEEEEEE"/>
      <rgbColor rgb="FFE2EFDA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7A9CC4"/>
      <rgbColor rgb="FF1F3864"/>
      <rgbColor rgb="FF339966"/>
      <rgbColor rgb="FF003300"/>
      <rgbColor rgb="FF375623"/>
      <rgbColor rgb="FF7B3F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13" min="3" style="1" width="13"/>
    <col collapsed="false" customWidth="true" hidden="false" outlineLevel="0" max="14" min="14" style="1" width="22"/>
  </cols>
  <sheetData>
    <row r="1" customFormat="false" ht="30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true" outlineLevel="0" collapsed="false">
      <c r="A2" s="3"/>
    </row>
    <row r="3" customFormat="false" ht="18" hidden="false" customHeight="true" outlineLevel="0" collapsed="false">
      <c r="A3" s="3"/>
      <c r="B3" s="4" t="s">
        <v>0</v>
      </c>
      <c r="C3" s="4"/>
      <c r="D3" s="5" t="s">
        <v>1</v>
      </c>
      <c r="E3" s="5"/>
      <c r="F3" s="6" t="s">
        <v>2</v>
      </c>
      <c r="G3" s="6"/>
      <c r="H3" s="6"/>
      <c r="I3" s="7" t="s">
        <v>3</v>
      </c>
      <c r="J3" s="8" t="s">
        <v>4</v>
      </c>
      <c r="K3" s="8"/>
      <c r="L3" s="8"/>
      <c r="M3" s="9" t="s">
        <v>5</v>
      </c>
      <c r="N3" s="9"/>
    </row>
    <row r="4" customFormat="false" ht="24" hidden="false" customHeight="true" outlineLevel="0" collapsed="false">
      <c r="A4" s="3"/>
      <c r="B4" s="10" t="s">
        <v>6</v>
      </c>
      <c r="C4" s="10" t="s">
        <v>7</v>
      </c>
      <c r="D4" s="10" t="s">
        <v>8</v>
      </c>
      <c r="E4" s="10" t="s">
        <v>9</v>
      </c>
      <c r="F4" s="10" t="s">
        <v>10</v>
      </c>
      <c r="G4" s="10" t="s">
        <v>11</v>
      </c>
      <c r="H4" s="10" t="s">
        <v>12</v>
      </c>
      <c r="I4" s="10" t="s">
        <v>13</v>
      </c>
      <c r="J4" s="10" t="s">
        <v>14</v>
      </c>
      <c r="K4" s="10" t="s">
        <v>15</v>
      </c>
      <c r="L4" s="10" t="s">
        <v>16</v>
      </c>
      <c r="M4" s="10" t="s">
        <v>17</v>
      </c>
      <c r="N4" s="10" t="s">
        <v>18</v>
      </c>
    </row>
    <row r="5" customFormat="false" ht="25.5" hidden="false" customHeight="true" outlineLevel="0" collapsed="false">
      <c r="A5" s="3"/>
      <c r="B5" s="11" t="n">
        <v>539622</v>
      </c>
      <c r="C5" s="12" t="n">
        <v>0.0005</v>
      </c>
      <c r="D5" s="13" t="n">
        <v>0.5</v>
      </c>
      <c r="E5" s="14" t="n">
        <f aca="false">1-D5</f>
        <v>0.5</v>
      </c>
      <c r="F5" s="13" t="n">
        <v>0.24</v>
      </c>
      <c r="G5" s="13" t="n">
        <v>0.23</v>
      </c>
      <c r="H5" s="13" t="n">
        <v>0.53</v>
      </c>
      <c r="I5" s="13" t="n">
        <v>0.1</v>
      </c>
      <c r="J5" s="13" t="n">
        <v>0.05</v>
      </c>
      <c r="K5" s="13" t="n">
        <v>0.95</v>
      </c>
      <c r="L5" s="14" t="n">
        <f aca="false">F5+G5+H5</f>
        <v>1</v>
      </c>
      <c r="M5" s="15" t="n">
        <f aca="false">NORMSINV(1-J5/2)</f>
        <v>1.95996398454005</v>
      </c>
      <c r="N5" s="15" t="n">
        <f aca="false">NORMSINV(K5)</f>
        <v>1.64485362695147</v>
      </c>
    </row>
    <row r="6" customFormat="false" ht="4.5" hidden="false" customHeight="true" outlineLevel="0" collapsed="false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customFormat="false" ht="18" hidden="false" customHeight="true" outlineLevel="0" collapsed="false">
      <c r="A7" s="3"/>
      <c r="B7" s="4" t="s">
        <v>19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customFormat="false" ht="19.5" hidden="false" customHeight="true" outlineLevel="0" collapsed="false">
      <c r="A8" s="3"/>
      <c r="B8" s="10"/>
      <c r="C8" s="10" t="s">
        <v>20</v>
      </c>
      <c r="D8" s="10" t="s">
        <v>21</v>
      </c>
      <c r="E8" s="10" t="s">
        <v>22</v>
      </c>
      <c r="F8" s="10" t="s">
        <v>23</v>
      </c>
      <c r="G8" s="10" t="s">
        <v>24</v>
      </c>
      <c r="H8" s="10" t="s">
        <v>25</v>
      </c>
      <c r="I8" s="10" t="s">
        <v>26</v>
      </c>
      <c r="J8" s="10" t="s">
        <v>27</v>
      </c>
      <c r="K8" s="17"/>
      <c r="L8" s="17"/>
      <c r="M8" s="17"/>
      <c r="N8" s="17"/>
    </row>
    <row r="9" customFormat="false" ht="25.5" hidden="false" customHeight="true" outlineLevel="0" collapsed="false">
      <c r="A9" s="3"/>
      <c r="B9" s="18" t="s">
        <v>28</v>
      </c>
      <c r="C9" s="12" t="n">
        <v>0.0008</v>
      </c>
      <c r="D9" s="12" t="n">
        <v>0.0007</v>
      </c>
      <c r="E9" s="12" t="n">
        <v>0.0005</v>
      </c>
      <c r="F9" s="12" t="n">
        <v>0.0006</v>
      </c>
      <c r="G9" s="12" t="n">
        <v>0.0005</v>
      </c>
      <c r="H9" s="12" t="n">
        <v>0.0004</v>
      </c>
      <c r="I9" s="12" t="n">
        <v>0.0005</v>
      </c>
      <c r="J9" s="12" t="n">
        <v>0.0004</v>
      </c>
      <c r="K9" s="19"/>
      <c r="L9" s="19"/>
      <c r="M9" s="19"/>
      <c r="N9" s="19"/>
    </row>
    <row r="10" customFormat="false" ht="4.5" hidden="false" customHeight="true" outlineLevel="0" collapsed="false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</row>
    <row r="11" customFormat="false" ht="18" hidden="false" customHeight="true" outlineLevel="0" collapsed="false">
      <c r="A11" s="3"/>
      <c r="B11" s="4" t="s">
        <v>29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customFormat="false" ht="21.75" hidden="false" customHeight="true" outlineLevel="0" collapsed="false">
      <c r="A12" s="3"/>
      <c r="B12" s="20" t="s">
        <v>30</v>
      </c>
      <c r="C12" s="20" t="s">
        <v>31</v>
      </c>
      <c r="D12" s="20" t="s">
        <v>32</v>
      </c>
      <c r="E12" s="20" t="s">
        <v>33</v>
      </c>
      <c r="F12" s="20" t="s">
        <v>34</v>
      </c>
      <c r="G12" s="20" t="s">
        <v>35</v>
      </c>
      <c r="H12" s="20" t="s">
        <v>36</v>
      </c>
      <c r="I12" s="21"/>
      <c r="J12" s="21"/>
      <c r="K12" s="21"/>
      <c r="L12" s="21"/>
      <c r="M12" s="21"/>
      <c r="N12" s="21"/>
    </row>
    <row r="13" customFormat="false" ht="19.5" hidden="false" customHeight="true" outlineLevel="0" collapsed="false">
      <c r="A13" s="3"/>
      <c r="B13" s="22" t="s">
        <v>37</v>
      </c>
      <c r="C13" s="23" t="n">
        <f aca="false">B5</f>
        <v>539622</v>
      </c>
      <c r="D13" s="14" t="n">
        <f aca="false">C13/B5</f>
        <v>1</v>
      </c>
      <c r="E13" s="19" t="s">
        <v>38</v>
      </c>
      <c r="F13" s="19" t="s">
        <v>38</v>
      </c>
      <c r="G13" s="19" t="s">
        <v>38</v>
      </c>
      <c r="H13" s="19" t="s">
        <v>38</v>
      </c>
    </row>
    <row r="14" customFormat="false" ht="19.5" hidden="false" customHeight="true" outlineLevel="0" collapsed="false">
      <c r="A14" s="3"/>
      <c r="B14" s="24" t="s">
        <v>39</v>
      </c>
      <c r="C14" s="25" t="n">
        <f aca="false">ROUND(B5*D5,0)</f>
        <v>269811</v>
      </c>
      <c r="D14" s="26" t="n">
        <f aca="false">C14/B5</f>
        <v>0.5</v>
      </c>
      <c r="E14" s="26" t="n">
        <f aca="false">D5</f>
        <v>0.5</v>
      </c>
      <c r="F14" s="27" t="s">
        <v>38</v>
      </c>
      <c r="G14" s="27" t="s">
        <v>38</v>
      </c>
      <c r="H14" s="27" t="s">
        <v>38</v>
      </c>
    </row>
    <row r="15" customFormat="false" ht="19.5" hidden="false" customHeight="true" outlineLevel="0" collapsed="false">
      <c r="A15" s="3"/>
      <c r="B15" s="28" t="s">
        <v>40</v>
      </c>
      <c r="C15" s="29" t="n">
        <f aca="false">ROUND(C14*F5,0)</f>
        <v>64755</v>
      </c>
      <c r="D15" s="26" t="n">
        <f aca="false">C15/B5</f>
        <v>0.12000066713366</v>
      </c>
      <c r="E15" s="26" t="n">
        <f aca="false">F5</f>
        <v>0.24</v>
      </c>
      <c r="F15" s="25" t="n">
        <f aca="false">ROUND(C15*(1-I5),0)</f>
        <v>58280</v>
      </c>
      <c r="G15" s="30" t="n">
        <f aca="false">ROUND(C15*I5,0)</f>
        <v>6476</v>
      </c>
      <c r="H15" s="31" t="n">
        <f aca="false">I5</f>
        <v>0.1</v>
      </c>
    </row>
    <row r="16" customFormat="false" ht="19.5" hidden="false" customHeight="true" outlineLevel="0" collapsed="false">
      <c r="A16" s="3"/>
      <c r="B16" s="28" t="s">
        <v>41</v>
      </c>
      <c r="C16" s="29" t="n">
        <f aca="false">ROUND(C14*G5,0)</f>
        <v>62057</v>
      </c>
      <c r="D16" s="26" t="n">
        <f aca="false">C16/B5</f>
        <v>0.115000870980056</v>
      </c>
      <c r="E16" s="26" t="n">
        <f aca="false">G5</f>
        <v>0.23</v>
      </c>
      <c r="F16" s="25" t="n">
        <f aca="false">ROUND(C16*(1-I5),0)</f>
        <v>55851</v>
      </c>
      <c r="G16" s="30" t="n">
        <f aca="false">ROUND(C16*I5,0)</f>
        <v>6206</v>
      </c>
      <c r="H16" s="31" t="n">
        <f aca="false">I5</f>
        <v>0.1</v>
      </c>
    </row>
    <row r="17" customFormat="false" ht="19.5" hidden="false" customHeight="true" outlineLevel="0" collapsed="false">
      <c r="A17" s="3"/>
      <c r="B17" s="28" t="s">
        <v>42</v>
      </c>
      <c r="C17" s="29" t="n">
        <f aca="false">ROUND(C14*H5,0)</f>
        <v>143000</v>
      </c>
      <c r="D17" s="26" t="n">
        <f aca="false">C17/B5</f>
        <v>0.26500031503534</v>
      </c>
      <c r="E17" s="26" t="n">
        <f aca="false">H5</f>
        <v>0.53</v>
      </c>
      <c r="F17" s="25" t="n">
        <f aca="false">ROUND(C17*(1-I5),0)</f>
        <v>128700</v>
      </c>
      <c r="G17" s="30" t="n">
        <f aca="false">ROUND(C17*I5,0)</f>
        <v>14300</v>
      </c>
      <c r="H17" s="31" t="n">
        <f aca="false">I5</f>
        <v>0.1</v>
      </c>
    </row>
    <row r="18" customFormat="false" ht="19.5" hidden="false" customHeight="true" outlineLevel="0" collapsed="false">
      <c r="A18" s="3"/>
      <c r="B18" s="32" t="s">
        <v>43</v>
      </c>
      <c r="C18" s="33" t="n">
        <f aca="false">ROUND(B5*E5,0)</f>
        <v>269811</v>
      </c>
      <c r="D18" s="34" t="n">
        <f aca="false">C18/B5</f>
        <v>0.5</v>
      </c>
      <c r="E18" s="34" t="n">
        <f aca="false">E5</f>
        <v>0.5</v>
      </c>
      <c r="F18" s="35" t="s">
        <v>38</v>
      </c>
      <c r="G18" s="35" t="s">
        <v>38</v>
      </c>
      <c r="H18" s="35" t="s">
        <v>38</v>
      </c>
    </row>
    <row r="19" customFormat="false" ht="19.5" hidden="false" customHeight="true" outlineLevel="0" collapsed="false">
      <c r="A19" s="3"/>
      <c r="B19" s="36" t="s">
        <v>40</v>
      </c>
      <c r="C19" s="37" t="n">
        <f aca="false">ROUND(C18*F5,0)</f>
        <v>64755</v>
      </c>
      <c r="D19" s="34" t="n">
        <f aca="false">C19/B5</f>
        <v>0.12000066713366</v>
      </c>
      <c r="E19" s="34" t="n">
        <f aca="false">F5</f>
        <v>0.24</v>
      </c>
      <c r="F19" s="33" t="n">
        <f aca="false">ROUND(C19*(1-I5),0)</f>
        <v>58280</v>
      </c>
      <c r="G19" s="30" t="n">
        <f aca="false">ROUND(C19*I5,0)</f>
        <v>6476</v>
      </c>
      <c r="H19" s="31" t="n">
        <f aca="false">I5</f>
        <v>0.1</v>
      </c>
    </row>
    <row r="20" customFormat="false" ht="19.5" hidden="false" customHeight="true" outlineLevel="0" collapsed="false">
      <c r="A20" s="3"/>
      <c r="B20" s="36" t="s">
        <v>41</v>
      </c>
      <c r="C20" s="37" t="n">
        <f aca="false">ROUND(C18*G5,0)</f>
        <v>62057</v>
      </c>
      <c r="D20" s="34" t="n">
        <f aca="false">C20/B5</f>
        <v>0.115000870980056</v>
      </c>
      <c r="E20" s="34" t="n">
        <f aca="false">G5</f>
        <v>0.23</v>
      </c>
      <c r="F20" s="33" t="n">
        <f aca="false">ROUND(C20*(1-I5),0)</f>
        <v>55851</v>
      </c>
      <c r="G20" s="30" t="n">
        <f aca="false">ROUND(C20*I5,0)</f>
        <v>6206</v>
      </c>
      <c r="H20" s="31" t="n">
        <f aca="false">I5</f>
        <v>0.1</v>
      </c>
    </row>
    <row r="21" customFormat="false" ht="19.5" hidden="false" customHeight="true" outlineLevel="0" collapsed="false">
      <c r="A21" s="3"/>
      <c r="B21" s="36" t="s">
        <v>42</v>
      </c>
      <c r="C21" s="37" t="n">
        <f aca="false">ROUND(C18*H5,0)</f>
        <v>143000</v>
      </c>
      <c r="D21" s="34" t="n">
        <f aca="false">C21/B5</f>
        <v>0.26500031503534</v>
      </c>
      <c r="E21" s="34" t="n">
        <f aca="false">H5</f>
        <v>0.53</v>
      </c>
      <c r="F21" s="33" t="n">
        <f aca="false">ROUND(C21*(1-I5),0)</f>
        <v>128700</v>
      </c>
      <c r="G21" s="30" t="n">
        <f aca="false">ROUND(C21*I5,0)</f>
        <v>14300</v>
      </c>
      <c r="H21" s="31" t="n">
        <f aca="false">I5</f>
        <v>0.1</v>
      </c>
    </row>
    <row r="22" customFormat="false" ht="19.5" hidden="false" customHeight="true" outlineLevel="0" collapsed="false">
      <c r="A22" s="3"/>
      <c r="B22" s="38" t="s">
        <v>44</v>
      </c>
      <c r="C22" s="39" t="n">
        <f aca="false">SUM(F15:F17)+SUM(F19:F21)</f>
        <v>485662</v>
      </c>
      <c r="D22" s="40" t="n">
        <f aca="false">C22/B5</f>
        <v>0.900004076927924</v>
      </c>
      <c r="E22" s="17"/>
      <c r="F22" s="39" t="n">
        <f aca="false">SUM(F15:F17)+SUM(F19:F21)</f>
        <v>485662</v>
      </c>
      <c r="G22" s="30" t="n">
        <f aca="false">SUM(G15:G17)+SUM(G19:G21)</f>
        <v>53964</v>
      </c>
      <c r="H22" s="31" t="n">
        <f aca="false">I5</f>
        <v>0.1</v>
      </c>
      <c r="I22" s="17"/>
      <c r="J22" s="17"/>
      <c r="K22" s="17"/>
      <c r="L22" s="17"/>
      <c r="M22" s="17"/>
      <c r="N22" s="17"/>
    </row>
    <row r="23" customFormat="false" ht="4.5" hidden="false" customHeight="true" outlineLevel="0" collapsed="false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 customFormat="false" ht="18" hidden="false" customHeight="true" outlineLevel="0" collapsed="false">
      <c r="A24" s="3"/>
      <c r="B24" s="4" t="s">
        <v>45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customFormat="false" ht="27.75" hidden="false" customHeight="true" outlineLevel="0" collapsed="false">
      <c r="A25" s="3"/>
      <c r="B25" s="20" t="s">
        <v>46</v>
      </c>
      <c r="C25" s="20" t="s">
        <v>47</v>
      </c>
      <c r="D25" s="20" t="s">
        <v>48</v>
      </c>
      <c r="E25" s="20" t="s">
        <v>49</v>
      </c>
      <c r="F25" s="41" t="s">
        <v>50</v>
      </c>
      <c r="G25" s="20" t="s">
        <v>51</v>
      </c>
      <c r="H25" s="20" t="s">
        <v>52</v>
      </c>
      <c r="I25" s="20" t="s">
        <v>53</v>
      </c>
      <c r="J25" s="20" t="s">
        <v>54</v>
      </c>
      <c r="K25" s="21"/>
    </row>
    <row r="26" customFormat="false" ht="19.5" hidden="false" customHeight="true" outlineLevel="0" collapsed="false">
      <c r="A26" s="3"/>
      <c r="B26" s="42" t="s">
        <v>55</v>
      </c>
      <c r="C26" s="42"/>
      <c r="D26" s="42"/>
      <c r="E26" s="42"/>
      <c r="F26" s="42"/>
      <c r="G26" s="42"/>
      <c r="H26" s="42"/>
      <c r="I26" s="42"/>
      <c r="J26" s="42"/>
      <c r="K26" s="42"/>
    </row>
    <row r="27" customFormat="false" ht="19.5" hidden="false" customHeight="true" outlineLevel="0" collapsed="false">
      <c r="A27" s="3"/>
      <c r="B27" s="43" t="s">
        <v>56</v>
      </c>
      <c r="C27" s="29" t="n">
        <f aca="false">SUM(F15:F17)</f>
        <v>242831</v>
      </c>
      <c r="D27" s="29" t="n">
        <f aca="false">SUM(F19:F21)</f>
        <v>242831</v>
      </c>
      <c r="E27" s="44" t="n">
        <f aca="false">C5</f>
        <v>0.0005</v>
      </c>
      <c r="F27" s="44" t="n">
        <f aca="false">I9-J9</f>
        <v>1E-004</v>
      </c>
      <c r="G27" s="45" t="n">
        <f aca="false">(M5+N5)*SQRT(E27*(1-E27)*(1/C27+1/D27))</f>
        <v>0.000231271773733202</v>
      </c>
      <c r="H27" s="25" t="n">
        <f aca="false">CEILING((M5+N5)^2*C5*(1-C5)/(MAX(I5,1-I5)*F27^2),1)</f>
        <v>721568</v>
      </c>
      <c r="I27" s="46" t="str">
        <f aca="false">IF(MIN(C27,D27)&gt;=H27,"✅  YES","❌  NO")</f>
        <v>❌  NO</v>
      </c>
      <c r="J27" s="28" t="str">
        <f aca="false">IF(G27&lt;=F27,"Conclusive",IF(G27&lt;=F27*1.3,"Directional","⚠ Raise ctrl %"))</f>
        <v>⚠ Raise ctrl %</v>
      </c>
      <c r="K27" s="27"/>
    </row>
    <row r="28" customFormat="false" ht="19.5" hidden="false" customHeight="true" outlineLevel="0" collapsed="false">
      <c r="A28" s="3"/>
      <c r="B28" s="43" t="s">
        <v>57</v>
      </c>
      <c r="C28" s="29" t="n">
        <f aca="false">SUM(F15:F17)</f>
        <v>242831</v>
      </c>
      <c r="D28" s="29" t="n">
        <f aca="false">SUM(G15:G17)</f>
        <v>26982</v>
      </c>
      <c r="E28" s="44" t="n">
        <f aca="false">C5</f>
        <v>0.0005</v>
      </c>
      <c r="F28" s="44" t="n">
        <f aca="false">I9</f>
        <v>0.0005</v>
      </c>
      <c r="G28" s="45" t="n">
        <f aca="false">(M5+N5)*SQRT(E28*(1-E28)*(1/C28+1/D28))</f>
        <v>0.000517132699169811</v>
      </c>
      <c r="H28" s="25" t="n">
        <f aca="false">CEILING((M5+N5)^2*C5*(1-C5)/(MAX(I5,1-I5)*F28^2),1)</f>
        <v>28863</v>
      </c>
      <c r="I28" s="46" t="str">
        <f aca="false">IF(MIN(C28,D28)&gt;=H28,"✅  YES","❌  NO")</f>
        <v>❌  NO</v>
      </c>
      <c r="J28" s="28" t="str">
        <f aca="false">IF(G28&lt;=F28,"Conclusive",IF(G28&lt;=F28*1.3,"Directional","⚠ Raise ctrl %"))</f>
        <v>Directional</v>
      </c>
      <c r="K28" s="27"/>
    </row>
    <row r="29" customFormat="false" ht="19.5" hidden="false" customHeight="true" outlineLevel="0" collapsed="false">
      <c r="A29" s="3"/>
      <c r="B29" s="47" t="s">
        <v>58</v>
      </c>
      <c r="C29" s="37" t="n">
        <f aca="false">SUM(F19:F21)</f>
        <v>242831</v>
      </c>
      <c r="D29" s="37" t="n">
        <f aca="false">SUM(G19:G21)</f>
        <v>26982</v>
      </c>
      <c r="E29" s="48" t="n">
        <f aca="false">C5</f>
        <v>0.0005</v>
      </c>
      <c r="F29" s="48" t="n">
        <f aca="false">J9</f>
        <v>0.0004</v>
      </c>
      <c r="G29" s="49" t="n">
        <f aca="false">(M5+N5)*SQRT(E29*(1-E29)*(1/C29+1/D29))</f>
        <v>0.000517132699169811</v>
      </c>
      <c r="H29" s="33" t="n">
        <f aca="false">CEILING((M5+N5)^2*C5*(1-C5)/(MAX(I5,1-I5)*F29^2),1)</f>
        <v>45098</v>
      </c>
      <c r="I29" s="50" t="str">
        <f aca="false">IF(MIN(C29,D29)&gt;=H29,"✅  YES","❌  NO")</f>
        <v>❌  NO</v>
      </c>
      <c r="J29" s="36" t="str">
        <f aca="false">IF(G29&lt;=F29,"Conclusive",IF(G29&lt;=F29*1.3,"Directional","⚠ Raise ctrl %"))</f>
        <v>Directional</v>
      </c>
      <c r="K29" s="35"/>
    </row>
    <row r="30" customFormat="false" ht="19.5" hidden="false" customHeight="true" outlineLevel="0" collapsed="false">
      <c r="A30" s="3"/>
      <c r="B30" s="42" t="s">
        <v>59</v>
      </c>
      <c r="C30" s="42"/>
      <c r="D30" s="42"/>
      <c r="E30" s="42"/>
      <c r="F30" s="42"/>
      <c r="G30" s="42"/>
      <c r="H30" s="42"/>
      <c r="I30" s="42"/>
      <c r="J30" s="42"/>
      <c r="K30" s="42"/>
    </row>
    <row r="31" customFormat="false" ht="19.5" hidden="false" customHeight="true" outlineLevel="0" collapsed="false">
      <c r="A31" s="3"/>
      <c r="B31" s="43" t="s">
        <v>60</v>
      </c>
      <c r="C31" s="29" t="n">
        <f aca="false">F15</f>
        <v>58280</v>
      </c>
      <c r="D31" s="29" t="n">
        <f aca="false">G15</f>
        <v>6476</v>
      </c>
      <c r="E31" s="44" t="n">
        <f aca="false">C5</f>
        <v>0.0005</v>
      </c>
      <c r="F31" s="44" t="n">
        <f aca="false">C9</f>
        <v>0.0008</v>
      </c>
      <c r="G31" s="45" t="n">
        <f aca="false">(M5+N5)*SQRT(E31*(1-E31)*(1/C31+1/D31))</f>
        <v>0.0010555687224246</v>
      </c>
      <c r="H31" s="25" t="n">
        <f aca="false">CEILING((M5+N5)^2*C5*(1-C5)/(MAX(I5,1-I5)*F31^2),1)</f>
        <v>11275</v>
      </c>
      <c r="I31" s="46" t="str">
        <f aca="false">IF(MIN(C31,D31)&gt;=H31,"✅  YES","❌  NO")</f>
        <v>❌  NO</v>
      </c>
      <c r="J31" s="28" t="str">
        <f aca="false">IF(G31&lt;=F31,"Conclusive",IF(G31&lt;=F31*1.3,"Directional","⚠ Raise ctrl %"))</f>
        <v>⚠ Raise ctrl %</v>
      </c>
      <c r="K31" s="27"/>
    </row>
    <row r="32" customFormat="false" ht="19.5" hidden="false" customHeight="true" outlineLevel="0" collapsed="false">
      <c r="A32" s="3"/>
      <c r="B32" s="43" t="s">
        <v>61</v>
      </c>
      <c r="C32" s="29" t="n">
        <f aca="false">F16</f>
        <v>55851</v>
      </c>
      <c r="D32" s="29" t="n">
        <f aca="false">G16</f>
        <v>6206</v>
      </c>
      <c r="E32" s="44" t="n">
        <f aca="false">C5</f>
        <v>0.0005</v>
      </c>
      <c r="F32" s="44" t="n">
        <f aca="false">D9</f>
        <v>0.0007</v>
      </c>
      <c r="G32" s="45" t="n">
        <f aca="false">(M5+N5)*SQRT(E32*(1-E32)*(1/C32+1/D32))</f>
        <v>0.00107828539675753</v>
      </c>
      <c r="H32" s="25" t="n">
        <f aca="false">CEILING((M5+N5)^2*C5*(1-C5)/(MAX(I5,1-I5)*F32^2),1)</f>
        <v>14726</v>
      </c>
      <c r="I32" s="46" t="str">
        <f aca="false">IF(MIN(C32,D32)&gt;=H32,"✅  YES","❌  NO")</f>
        <v>❌  NO</v>
      </c>
      <c r="J32" s="28" t="str">
        <f aca="false">IF(G32&lt;=F32,"Conclusive",IF(G32&lt;=F32*1.3,"Directional","⚠ Raise ctrl %"))</f>
        <v>⚠ Raise ctrl %</v>
      </c>
      <c r="K32" s="27"/>
    </row>
    <row r="33" customFormat="false" ht="19.5" hidden="false" customHeight="true" outlineLevel="0" collapsed="false">
      <c r="A33" s="3"/>
      <c r="B33" s="43" t="s">
        <v>62</v>
      </c>
      <c r="C33" s="29" t="n">
        <f aca="false">F17</f>
        <v>128700</v>
      </c>
      <c r="D33" s="29" t="n">
        <f aca="false">G17</f>
        <v>14300</v>
      </c>
      <c r="E33" s="44" t="n">
        <f aca="false">C5</f>
        <v>0.0005</v>
      </c>
      <c r="F33" s="44" t="n">
        <f aca="false">E9</f>
        <v>0.0005</v>
      </c>
      <c r="G33" s="45" t="n">
        <f aca="false">(M5+N5)*SQRT(E33*(1-E33)*(1/C33+1/D33))</f>
        <v>0.000710346792997211</v>
      </c>
      <c r="H33" s="25" t="n">
        <f aca="false">CEILING((M5+N5)^2*C5*(1-C5)/(MAX(I5,1-I5)*F33^2),1)</f>
        <v>28863</v>
      </c>
      <c r="I33" s="46" t="str">
        <f aca="false">IF(MIN(C33,D33)&gt;=H33,"✅  YES","❌  NO")</f>
        <v>❌  NO</v>
      </c>
      <c r="J33" s="28" t="str">
        <f aca="false">IF(G33&lt;=F33,"Conclusive",IF(G33&lt;=F33*1.3,"Directional","⚠ Raise ctrl %"))</f>
        <v>⚠ Raise ctrl %</v>
      </c>
      <c r="K33" s="27"/>
    </row>
    <row r="34" customFormat="false" ht="19.5" hidden="false" customHeight="true" outlineLevel="0" collapsed="false">
      <c r="A34" s="3"/>
      <c r="B34" s="42" t="s">
        <v>63</v>
      </c>
      <c r="C34" s="42"/>
      <c r="D34" s="42"/>
      <c r="E34" s="42"/>
      <c r="F34" s="42"/>
      <c r="G34" s="42"/>
      <c r="H34" s="42"/>
      <c r="I34" s="42"/>
      <c r="J34" s="42"/>
      <c r="K34" s="42"/>
    </row>
    <row r="35" customFormat="false" ht="19.5" hidden="false" customHeight="true" outlineLevel="0" collapsed="false">
      <c r="A35" s="3"/>
      <c r="B35" s="47" t="s">
        <v>64</v>
      </c>
      <c r="C35" s="37" t="n">
        <f aca="false">F19</f>
        <v>58280</v>
      </c>
      <c r="D35" s="37" t="n">
        <f aca="false">G19</f>
        <v>6476</v>
      </c>
      <c r="E35" s="48" t="n">
        <f aca="false">C5</f>
        <v>0.0005</v>
      </c>
      <c r="F35" s="48" t="n">
        <f aca="false">F9</f>
        <v>0.0006</v>
      </c>
      <c r="G35" s="49" t="n">
        <f aca="false">(M5+N5)*SQRT(E35*(1-E35)*(1/C35+1/D35))</f>
        <v>0.0010555687224246</v>
      </c>
      <c r="H35" s="33" t="n">
        <f aca="false">CEILING((M5+N5)^2*C5*(1-C5)/(MAX(I5,1-I5)*F35^2),1)</f>
        <v>20044</v>
      </c>
      <c r="I35" s="50" t="str">
        <f aca="false">IF(MIN(C35,D35)&gt;=H35,"✅  YES","❌  NO")</f>
        <v>❌  NO</v>
      </c>
      <c r="J35" s="36" t="str">
        <f aca="false">IF(G35&lt;=F35,"Conclusive",IF(G35&lt;=F35*1.3,"Directional","⚠ Raise ctrl %"))</f>
        <v>⚠ Raise ctrl %</v>
      </c>
      <c r="K35" s="35"/>
    </row>
    <row r="36" customFormat="false" ht="19.5" hidden="false" customHeight="true" outlineLevel="0" collapsed="false">
      <c r="A36" s="3"/>
      <c r="B36" s="47" t="s">
        <v>65</v>
      </c>
      <c r="C36" s="37" t="n">
        <f aca="false">F20</f>
        <v>55851</v>
      </c>
      <c r="D36" s="37" t="n">
        <f aca="false">G20</f>
        <v>6206</v>
      </c>
      <c r="E36" s="48" t="n">
        <f aca="false">C5</f>
        <v>0.0005</v>
      </c>
      <c r="F36" s="48" t="n">
        <f aca="false">G9</f>
        <v>0.0005</v>
      </c>
      <c r="G36" s="49" t="n">
        <f aca="false">(M5+N5)*SQRT(E36*(1-E36)*(1/C36+1/D36))</f>
        <v>0.00107828539675753</v>
      </c>
      <c r="H36" s="33" t="n">
        <f aca="false">CEILING((M5+N5)^2*C5*(1-C5)/(MAX(I5,1-I5)*F36^2),1)</f>
        <v>28863</v>
      </c>
      <c r="I36" s="50" t="str">
        <f aca="false">IF(MIN(C36,D36)&gt;=H36,"✅  YES","❌  NO")</f>
        <v>❌  NO</v>
      </c>
      <c r="J36" s="36" t="str">
        <f aca="false">IF(G36&lt;=F36,"Conclusive",IF(G36&lt;=F36*1.3,"Directional","⚠ Raise ctrl %"))</f>
        <v>⚠ Raise ctrl %</v>
      </c>
      <c r="K36" s="35"/>
    </row>
    <row r="37" customFormat="false" ht="19.5" hidden="false" customHeight="true" outlineLevel="0" collapsed="false">
      <c r="A37" s="3"/>
      <c r="B37" s="47" t="s">
        <v>66</v>
      </c>
      <c r="C37" s="37" t="n">
        <f aca="false">F21</f>
        <v>128700</v>
      </c>
      <c r="D37" s="37" t="n">
        <f aca="false">G21</f>
        <v>14300</v>
      </c>
      <c r="E37" s="48" t="n">
        <f aca="false">C5</f>
        <v>0.0005</v>
      </c>
      <c r="F37" s="48" t="n">
        <f aca="false">H9</f>
        <v>0.0004</v>
      </c>
      <c r="G37" s="49" t="n">
        <f aca="false">(M5+N5)*SQRT(E37*(1-E37)*(1/C37+1/D37))</f>
        <v>0.000710346792997211</v>
      </c>
      <c r="H37" s="33" t="n">
        <f aca="false">CEILING((M5+N5)^2*C5*(1-C5)/(MAX(I5,1-I5)*F37^2),1)</f>
        <v>45098</v>
      </c>
      <c r="I37" s="50" t="str">
        <f aca="false">IF(MIN(C37,D37)&gt;=H37,"✅  YES","❌  NO")</f>
        <v>❌  NO</v>
      </c>
      <c r="J37" s="36" t="str">
        <f aca="false">IF(G37&lt;=F37,"Conclusive",IF(G37&lt;=F37*1.3,"Directional","⚠ Raise ctrl %"))</f>
        <v>⚠ Raise ctrl %</v>
      </c>
      <c r="K37" s="35"/>
    </row>
    <row r="38" customFormat="false" ht="19.5" hidden="false" customHeight="true" outlineLevel="0" collapsed="false">
      <c r="A38" s="3"/>
      <c r="B38" s="42" t="s">
        <v>67</v>
      </c>
      <c r="C38" s="42"/>
      <c r="D38" s="42"/>
      <c r="E38" s="42"/>
      <c r="F38" s="42"/>
      <c r="G38" s="42"/>
      <c r="H38" s="42"/>
      <c r="I38" s="42"/>
      <c r="J38" s="42"/>
      <c r="K38" s="42"/>
    </row>
    <row r="39" customFormat="false" ht="19.5" hidden="false" customHeight="true" outlineLevel="0" collapsed="false">
      <c r="A39" s="3"/>
      <c r="B39" s="43" t="s">
        <v>68</v>
      </c>
      <c r="C39" s="29" t="n">
        <f aca="false">F15</f>
        <v>58280</v>
      </c>
      <c r="D39" s="29" t="n">
        <f aca="false">F19</f>
        <v>58280</v>
      </c>
      <c r="E39" s="44" t="n">
        <f aca="false">C5</f>
        <v>0.0005</v>
      </c>
      <c r="F39" s="44" t="n">
        <f aca="false">C9-F9</f>
        <v>0.0002</v>
      </c>
      <c r="G39" s="45" t="n">
        <f aca="false">(M5+N5)*SQRT(E39*(1-E39)*(1/C39+1/D39))</f>
        <v>0.000472079263225168</v>
      </c>
      <c r="H39" s="25" t="n">
        <f aca="false">CEILING((M5+N5)^2*C5*(1-C5)/(MAX(I5,1-I5)*F39^2),1)</f>
        <v>180392</v>
      </c>
      <c r="I39" s="46" t="str">
        <f aca="false">IF(MIN(C39,D39)&gt;=H39,"✅  YES","❌  NO")</f>
        <v>❌  NO</v>
      </c>
      <c r="J39" s="28" t="str">
        <f aca="false">IF(G39&lt;=F39,"Conclusive",IF(G39&lt;=F39*1.3,"Directional","⚠ Raise ctrl %"))</f>
        <v>⚠ Raise ctrl %</v>
      </c>
      <c r="K39" s="27"/>
    </row>
    <row r="40" customFormat="false" ht="19.5" hidden="false" customHeight="true" outlineLevel="0" collapsed="false">
      <c r="A40" s="3"/>
      <c r="B40" s="43" t="s">
        <v>69</v>
      </c>
      <c r="C40" s="29" t="n">
        <f aca="false">F16</f>
        <v>55851</v>
      </c>
      <c r="D40" s="29" t="n">
        <f aca="false">F20</f>
        <v>55851</v>
      </c>
      <c r="E40" s="44" t="n">
        <f aca="false">C5</f>
        <v>0.0005</v>
      </c>
      <c r="F40" s="44" t="n">
        <f aca="false">D9-G9</f>
        <v>0.0002</v>
      </c>
      <c r="G40" s="45" t="n">
        <f aca="false">(M5+N5)*SQRT(E40*(1-E40)*(1/C40+1/D40))</f>
        <v>0.000482235545109172</v>
      </c>
      <c r="H40" s="25" t="n">
        <f aca="false">CEILING((M5+N5)^2*C5*(1-C5)/(MAX(I5,1-I5)*F40^2),1)</f>
        <v>180392</v>
      </c>
      <c r="I40" s="46" t="str">
        <f aca="false">IF(MIN(C40,D40)&gt;=H40,"✅  YES","❌  NO")</f>
        <v>❌  NO</v>
      </c>
      <c r="J40" s="28" t="str">
        <f aca="false">IF(G40&lt;=F40,"Conclusive",IF(G40&lt;=F40*1.3,"Directional","⚠ Raise ctrl %"))</f>
        <v>⚠ Raise ctrl %</v>
      </c>
      <c r="K40" s="27"/>
    </row>
    <row r="41" customFormat="false" ht="19.5" hidden="false" customHeight="true" outlineLevel="0" collapsed="false">
      <c r="A41" s="3"/>
      <c r="B41" s="43" t="s">
        <v>70</v>
      </c>
      <c r="C41" s="29" t="n">
        <f aca="false">F17</f>
        <v>128700</v>
      </c>
      <c r="D41" s="29" t="n">
        <f aca="false">F21</f>
        <v>128700</v>
      </c>
      <c r="E41" s="44" t="n">
        <f aca="false">C5</f>
        <v>0.0005</v>
      </c>
      <c r="F41" s="44" t="n">
        <f aca="false">E9-H9</f>
        <v>1E-004</v>
      </c>
      <c r="G41" s="45" t="n">
        <f aca="false">(M5+N5)*SQRT(E41*(1-E41)*(1/C41+1/D41))</f>
        <v>0.000317676743348147</v>
      </c>
      <c r="H41" s="25" t="n">
        <f aca="false">CEILING((M5+N5)^2*C5*(1-C5)/(MAX(I5,1-I5)*F41^2),1)</f>
        <v>721568</v>
      </c>
      <c r="I41" s="46" t="str">
        <f aca="false">IF(MIN(C41,D41)&gt;=H41,"✅  YES","❌  NO")</f>
        <v>❌  NO</v>
      </c>
      <c r="J41" s="28" t="str">
        <f aca="false">IF(G41&lt;=F41,"Conclusive",IF(G41&lt;=F41*1.3,"Directional","⚠ Raise ctrl %"))</f>
        <v>⚠ Raise ctrl %</v>
      </c>
      <c r="K41" s="27"/>
    </row>
    <row r="42" customFormat="false" ht="19.5" hidden="false" customHeight="true" outlineLevel="0" collapsed="false">
      <c r="A42" s="3"/>
      <c r="B42" s="42" t="s">
        <v>71</v>
      </c>
      <c r="C42" s="42"/>
      <c r="D42" s="42"/>
      <c r="E42" s="42"/>
      <c r="F42" s="42"/>
      <c r="G42" s="42"/>
      <c r="H42" s="42"/>
      <c r="I42" s="42"/>
      <c r="J42" s="42"/>
      <c r="K42" s="42"/>
    </row>
    <row r="43" customFormat="false" ht="19.5" hidden="false" customHeight="true" outlineLevel="0" collapsed="false">
      <c r="A43" s="3"/>
      <c r="B43" s="51" t="s">
        <v>72</v>
      </c>
      <c r="C43" s="52" t="n">
        <f aca="false">F15</f>
        <v>58280</v>
      </c>
      <c r="D43" s="52" t="n">
        <f aca="false">F17</f>
        <v>128700</v>
      </c>
      <c r="E43" s="53" t="n">
        <f aca="false">C5</f>
        <v>0.0005</v>
      </c>
      <c r="F43" s="53" t="n">
        <f aca="false">C9-E9</f>
        <v>0.0003</v>
      </c>
      <c r="G43" s="54" t="n">
        <f aca="false">(M5+N5)*SQRT(E43*(1-E43)*(1/C43+1/D43))</f>
        <v>0.000402353913881487</v>
      </c>
      <c r="H43" s="55" t="n">
        <f aca="false">CEILING((M5+N5)^2*C5*(1-C5)/(MAX(I5,1-I5)*F43^2),1)</f>
        <v>80175</v>
      </c>
      <c r="I43" s="56" t="str">
        <f aca="false">IF(MIN(C43,D43)&gt;=H43,"✅  YES","❌  NO")</f>
        <v>❌  NO</v>
      </c>
      <c r="J43" s="57" t="str">
        <f aca="false">IF(G43&lt;=F43,"Conclusive",IF(G43&lt;=F43*1.3,"Directional","⚠ Raise ctrl %"))</f>
        <v>⚠ Raise ctrl %</v>
      </c>
      <c r="K43" s="58"/>
    </row>
    <row r="44" customFormat="false" ht="19.5" hidden="false" customHeight="true" outlineLevel="0" collapsed="false">
      <c r="A44" s="3"/>
      <c r="B44" s="51" t="s">
        <v>73</v>
      </c>
      <c r="C44" s="52" t="n">
        <f aca="false">F16</f>
        <v>55851</v>
      </c>
      <c r="D44" s="52" t="n">
        <f aca="false">F17</f>
        <v>128700</v>
      </c>
      <c r="E44" s="53" t="n">
        <f aca="false">C5</f>
        <v>0.0005</v>
      </c>
      <c r="F44" s="53" t="n">
        <f aca="false">D9-E9</f>
        <v>0.0002</v>
      </c>
      <c r="G44" s="54" t="n">
        <f aca="false">(M5+N5)*SQRT(E44*(1-E44)*(1/C44+1/D44))</f>
        <v>0.000408331748845852</v>
      </c>
      <c r="H44" s="55" t="n">
        <f aca="false">CEILING((M5+N5)^2*C5*(1-C5)/(MAX(I5,1-I5)*F44^2),1)</f>
        <v>180392</v>
      </c>
      <c r="I44" s="56" t="str">
        <f aca="false">IF(MIN(C44,D44)&gt;=H44,"✅  YES","❌  NO")</f>
        <v>❌  NO</v>
      </c>
      <c r="J44" s="57" t="str">
        <f aca="false">IF(G44&lt;=F44,"Conclusive",IF(G44&lt;=F44*1.3,"Directional","⚠ Raise ctrl %"))</f>
        <v>⚠ Raise ctrl %</v>
      </c>
      <c r="K44" s="58"/>
    </row>
    <row r="45" customFormat="false" ht="19.5" hidden="false" customHeight="true" outlineLevel="0" collapsed="false">
      <c r="A45" s="3"/>
      <c r="B45" s="51" t="s">
        <v>74</v>
      </c>
      <c r="C45" s="52" t="n">
        <f aca="false">F19</f>
        <v>58280</v>
      </c>
      <c r="D45" s="52" t="n">
        <f aca="false">F21</f>
        <v>128700</v>
      </c>
      <c r="E45" s="53" t="n">
        <f aca="false">C5</f>
        <v>0.0005</v>
      </c>
      <c r="F45" s="53" t="n">
        <f aca="false">F9-H9</f>
        <v>0.0002</v>
      </c>
      <c r="G45" s="54" t="n">
        <f aca="false">(M5+N5)*SQRT(E45*(1-E45)*(1/C45+1/D45))</f>
        <v>0.000402353913881487</v>
      </c>
      <c r="H45" s="55" t="n">
        <f aca="false">CEILING((M5+N5)^2*C5*(1-C5)/(MAX(I5,1-I5)*F45^2),1)</f>
        <v>180392</v>
      </c>
      <c r="I45" s="56" t="str">
        <f aca="false">IF(MIN(C45,D45)&gt;=H45,"✅  YES","❌  NO")</f>
        <v>❌  NO</v>
      </c>
      <c r="J45" s="57" t="str">
        <f aca="false">IF(G45&lt;=F45,"Conclusive",IF(G45&lt;=F45*1.3,"Directional","⚠ Raise ctrl %"))</f>
        <v>⚠ Raise ctrl %</v>
      </c>
      <c r="K45" s="58"/>
    </row>
    <row r="46" customFormat="false" ht="19.5" hidden="false" customHeight="true" outlineLevel="0" collapsed="false">
      <c r="A46" s="3"/>
      <c r="B46" s="51" t="s">
        <v>75</v>
      </c>
      <c r="C46" s="52" t="n">
        <f aca="false">F20</f>
        <v>55851</v>
      </c>
      <c r="D46" s="52" t="n">
        <f aca="false">F21</f>
        <v>128700</v>
      </c>
      <c r="E46" s="53" t="n">
        <f aca="false">C5</f>
        <v>0.0005</v>
      </c>
      <c r="F46" s="53" t="n">
        <f aca="false">G9-H9</f>
        <v>1E-004</v>
      </c>
      <c r="G46" s="54" t="n">
        <f aca="false">(M5+N5)*SQRT(E46*(1-E46)*(1/C46+1/D46))</f>
        <v>0.000408331748845852</v>
      </c>
      <c r="H46" s="55" t="n">
        <f aca="false">CEILING((M5+N5)^2*C5*(1-C5)/(MAX(I5,1-I5)*F46^2),1)</f>
        <v>721568</v>
      </c>
      <c r="I46" s="56" t="str">
        <f aca="false">IF(MIN(C46,D46)&gt;=H46,"✅  YES","❌  NO")</f>
        <v>❌  NO</v>
      </c>
      <c r="J46" s="57" t="str">
        <f aca="false">IF(G46&lt;=F46,"Conclusive",IF(G46&lt;=F46*1.3,"Directional","⚠ Raise ctrl %"))</f>
        <v>⚠ Raise ctrl %</v>
      </c>
      <c r="K46" s="58"/>
    </row>
    <row r="47" customFormat="false" ht="4.5" hidden="false" customHeight="true" outlineLevel="0" collapsed="false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customFormat="false" ht="18" hidden="false" customHeight="true" outlineLevel="0" collapsed="false">
      <c r="A48" s="3"/>
      <c r="B48" s="59" t="s">
        <v>76</v>
      </c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3"/>
    </row>
    <row r="49" customFormat="false" ht="31.5" hidden="false" customHeight="true" outlineLevel="0" collapsed="false">
      <c r="A49" s="3"/>
      <c r="B49" s="41" t="s">
        <v>77</v>
      </c>
      <c r="C49" s="41" t="s">
        <v>78</v>
      </c>
      <c r="D49" s="41" t="s">
        <v>79</v>
      </c>
      <c r="E49" s="41" t="s">
        <v>80</v>
      </c>
      <c r="F49" s="41" t="s">
        <v>81</v>
      </c>
      <c r="G49" s="41" t="s">
        <v>82</v>
      </c>
      <c r="H49" s="41" t="s">
        <v>83</v>
      </c>
      <c r="I49" s="41" t="s">
        <v>84</v>
      </c>
      <c r="J49" s="41" t="s">
        <v>85</v>
      </c>
      <c r="K49" s="21"/>
      <c r="L49" s="21"/>
      <c r="M49" s="21"/>
      <c r="N49" s="21"/>
    </row>
    <row r="50" customFormat="false" ht="21.75" hidden="false" customHeight="true" outlineLevel="0" collapsed="false">
      <c r="A50" s="3"/>
      <c r="B50" s="28" t="s">
        <v>86</v>
      </c>
      <c r="C50" s="44" t="n">
        <f aca="false">C9</f>
        <v>0.0008</v>
      </c>
      <c r="D50" s="29" t="n">
        <f aca="false">C15</f>
        <v>64755</v>
      </c>
      <c r="E50" s="25" t="n">
        <f aca="false">CEILING((M5+N5)^2*(C5*(1-C5)+(C5+C9)*(1-(C5+C9)))/C9^2,1)</f>
        <v>36509</v>
      </c>
      <c r="F50" s="29" t="n">
        <f aca="false">E50*2</f>
        <v>73018</v>
      </c>
      <c r="G50" s="46" t="str">
        <f aca="false">IF(C15&gt;=F50,"✅  Yes","❌  Need "&amp;TEXT(F50-C15,"+#,##0")&amp;" more")</f>
        <v>❌  Need +8,263 more</v>
      </c>
      <c r="H50" s="45" t="n">
        <f aca="false">(M5+N5)*SQRT(C5*(1-C5)*(1/(C15*(1-I5))+1/(C15*I5)))</f>
        <v>0.00105560585151432</v>
      </c>
      <c r="I50" s="44" t="n">
        <f aca="false">(M5+N5)*SQRT(C5*(1-C5)*(2/C15))</f>
        <v>0.000447855633519584</v>
      </c>
      <c r="J50" s="60" t="str">
        <f aca="false">IF(H50&lt;=C50,"✅  Conclusive — MDE "&amp;TEXT(H50,"0.00%")&amp;" ≤ lift "&amp;TEXT(C50,"0.00%"),"⚠  Directional — MDE "&amp;TEXT(H50,"0.00%")&amp;" &gt; lift "&amp;TEXT(C50,"0.00%"))</f>
        <v>⚠  Directional — MDE 0.11% &gt; lift 0.08%</v>
      </c>
      <c r="K50" s="27"/>
      <c r="L50" s="27"/>
      <c r="M50" s="27"/>
      <c r="N50" s="27"/>
    </row>
    <row r="51" customFormat="false" ht="21.75" hidden="false" customHeight="true" outlineLevel="0" collapsed="false">
      <c r="A51" s="3"/>
      <c r="B51" s="28" t="s">
        <v>87</v>
      </c>
      <c r="C51" s="44" t="n">
        <f aca="false">D9</f>
        <v>0.0007</v>
      </c>
      <c r="D51" s="29" t="n">
        <f aca="false">C16</f>
        <v>62057</v>
      </c>
      <c r="E51" s="25" t="n">
        <f aca="false">CEILING((M5+N5)^2*(C5*(1-C5)+(C5+D9)*(1-(C5+D9)))/D9^2,1)</f>
        <v>45039</v>
      </c>
      <c r="F51" s="29" t="n">
        <f aca="false">E51*2</f>
        <v>90078</v>
      </c>
      <c r="G51" s="46" t="str">
        <f aca="false">IF(C16&gt;=F51,"✅  Yes","❌  Need "&amp;TEXT(F51-C16,"+#,##0")&amp;" more")</f>
        <v>❌  Need +28,021 more</v>
      </c>
      <c r="H51" s="45" t="n">
        <f aca="false">(M5+N5)*SQRT(C5*(1-C5)*(1/(C16*(1-I5))+1/(C16*I5)))</f>
        <v>0.00107830856400264</v>
      </c>
      <c r="I51" s="44" t="n">
        <f aca="false">(M5+N5)*SQRT(C5*(1-C5)*(2/C16))</f>
        <v>0.000457487578690677</v>
      </c>
      <c r="J51" s="60" t="str">
        <f aca="false">IF(H51&lt;=C51,"✅  Conclusive — MDE "&amp;TEXT(H51,"0.00%")&amp;" ≤ lift "&amp;TEXT(C51,"0.00%"),"⚠  Directional — MDE "&amp;TEXT(H51,"0.00%")&amp;" &gt; lift "&amp;TEXT(C51,"0.00%"))</f>
        <v>⚠  Directional — MDE 0.11% &gt; lift 0.07%</v>
      </c>
      <c r="K51" s="27"/>
      <c r="L51" s="27"/>
      <c r="M51" s="27"/>
      <c r="N51" s="27"/>
    </row>
    <row r="52" customFormat="false" ht="21.75" hidden="false" customHeight="true" outlineLevel="0" collapsed="false">
      <c r="A52" s="3"/>
      <c r="B52" s="28" t="s">
        <v>88</v>
      </c>
      <c r="C52" s="44" t="n">
        <f aca="false">E9</f>
        <v>0.0005</v>
      </c>
      <c r="D52" s="29" t="n">
        <f aca="false">C17</f>
        <v>143000</v>
      </c>
      <c r="E52" s="25" t="n">
        <f aca="false">CEILING((M5+N5)^2*(C5*(1-C5)+(C5+E9)*(1-(C5+E9)))/E9^2,1)</f>
        <v>77904</v>
      </c>
      <c r="F52" s="29" t="n">
        <f aca="false">E52*2</f>
        <v>155808</v>
      </c>
      <c r="G52" s="46" t="str">
        <f aca="false">IF(C17&gt;=F52,"✅  Yes","❌  Need "&amp;TEXT(F52-C17,"+#,##0")&amp;" more")</f>
        <v>❌  Need +12,808 more</v>
      </c>
      <c r="H52" s="45" t="n">
        <f aca="false">(M5+N5)*SQRT(C5*(1-C5)*(1/(C17*(1-I5))+1/(C17*I5)))</f>
        <v>0.000710346792997211</v>
      </c>
      <c r="I52" s="44" t="n">
        <f aca="false">(M5+N5)*SQRT(C5*(1-C5)*(2/C17))</f>
        <v>0.000301374620593467</v>
      </c>
      <c r="J52" s="60" t="str">
        <f aca="false">IF(H52&lt;=C52,"✅  Conclusive — MDE "&amp;TEXT(H52,"0.00%")&amp;" ≤ lift "&amp;TEXT(C52,"0.00%"),"⚠  Directional — MDE "&amp;TEXT(H52,"0.00%")&amp;" &gt; lift "&amp;TEXT(C52,"0.00%"))</f>
        <v>⚠  Directional — MDE 0.07% &gt; lift 0.05%</v>
      </c>
      <c r="K52" s="27"/>
      <c r="L52" s="27"/>
      <c r="M52" s="27"/>
      <c r="N52" s="27"/>
    </row>
    <row r="53" customFormat="false" ht="21.75" hidden="false" customHeight="true" outlineLevel="0" collapsed="false">
      <c r="A53" s="3"/>
      <c r="B53" s="36" t="s">
        <v>89</v>
      </c>
      <c r="C53" s="48" t="n">
        <f aca="false">F9</f>
        <v>0.0006</v>
      </c>
      <c r="D53" s="37" t="n">
        <f aca="false">C19</f>
        <v>64755</v>
      </c>
      <c r="E53" s="33" t="n">
        <f aca="false">CEILING((M5+N5)^2*(C5*(1-C5)+(C5+F9)*(1-(C5+F9)))/F9^2,1)</f>
        <v>57702</v>
      </c>
      <c r="F53" s="37" t="n">
        <f aca="false">E53*2</f>
        <v>115404</v>
      </c>
      <c r="G53" s="50" t="str">
        <f aca="false">IF(C19&gt;=F53,"✅  Yes","❌  Need "&amp;TEXT(F53-C19,"+#,##0")&amp;" more")</f>
        <v>❌  Need +50,649 more</v>
      </c>
      <c r="H53" s="49" t="n">
        <f aca="false">(M5+N5)*SQRT(C5*(1-C5)*(1/(C19*(1-I5))+1/(C19*I5)))</f>
        <v>0.00105560585151432</v>
      </c>
      <c r="I53" s="48" t="n">
        <f aca="false">(M5+N5)*SQRT(C5*(1-C5)*(2/C19))</f>
        <v>0.000447855633519584</v>
      </c>
      <c r="J53" s="61" t="str">
        <f aca="false">IF(H53&lt;=C53,"✅  Conclusive — MDE "&amp;TEXT(H53,"0.00%")&amp;" ≤ lift "&amp;TEXT(C53,"0.00%"),"⚠  Directional — MDE "&amp;TEXT(H53,"0.00%")&amp;" &gt; lift "&amp;TEXT(C53,"0.00%"))</f>
        <v>⚠  Directional — MDE 0.11% &gt; lift 0.06%</v>
      </c>
      <c r="K53" s="35"/>
      <c r="L53" s="35"/>
      <c r="M53" s="35"/>
      <c r="N53" s="35"/>
    </row>
    <row r="54" customFormat="false" ht="21.75" hidden="false" customHeight="true" outlineLevel="0" collapsed="false">
      <c r="A54" s="3"/>
      <c r="B54" s="36" t="s">
        <v>90</v>
      </c>
      <c r="C54" s="48" t="n">
        <f aca="false">G9</f>
        <v>0.0005</v>
      </c>
      <c r="D54" s="37" t="n">
        <f aca="false">C20</f>
        <v>62057</v>
      </c>
      <c r="E54" s="33" t="n">
        <f aca="false">CEILING((M5+N5)^2*(C5*(1-C5)+(C5+G9)*(1-(C5+G9)))/G9^2,1)</f>
        <v>77904</v>
      </c>
      <c r="F54" s="37" t="n">
        <f aca="false">E54*2</f>
        <v>155808</v>
      </c>
      <c r="G54" s="50" t="str">
        <f aca="false">IF(C20&gt;=F54,"✅  Yes","❌  Need "&amp;TEXT(F54-C20,"+#,##0")&amp;" more")</f>
        <v>❌  Need +93,751 more</v>
      </c>
      <c r="H54" s="49" t="n">
        <f aca="false">(M5+N5)*SQRT(C5*(1-C5)*(1/(C20*(1-I5))+1/(C20*I5)))</f>
        <v>0.00107830856400264</v>
      </c>
      <c r="I54" s="48" t="n">
        <f aca="false">(M5+N5)*SQRT(C5*(1-C5)*(2/C20))</f>
        <v>0.000457487578690677</v>
      </c>
      <c r="J54" s="61" t="str">
        <f aca="false">IF(H54&lt;=C54,"✅  Conclusive — MDE "&amp;TEXT(H54,"0.00%")&amp;" ≤ lift "&amp;TEXT(C54,"0.00%"),"⚠  Directional — MDE "&amp;TEXT(H54,"0.00%")&amp;" &gt; lift "&amp;TEXT(C54,"0.00%"))</f>
        <v>⚠  Directional — MDE 0.11% &gt; lift 0.05%</v>
      </c>
      <c r="K54" s="35"/>
      <c r="L54" s="35"/>
      <c r="M54" s="35"/>
      <c r="N54" s="35"/>
    </row>
    <row r="55" customFormat="false" ht="21.75" hidden="false" customHeight="true" outlineLevel="0" collapsed="false">
      <c r="A55" s="3"/>
      <c r="B55" s="36" t="s">
        <v>91</v>
      </c>
      <c r="C55" s="48" t="n">
        <f aca="false">H9</f>
        <v>0.0004</v>
      </c>
      <c r="D55" s="37" t="n">
        <f aca="false">C21</f>
        <v>143000</v>
      </c>
      <c r="E55" s="33" t="n">
        <f aca="false">CEILING((M5+N5)^2*(C5*(1-C5)+(C5+H9)*(1-(C5+H9)))/H9^2,1)</f>
        <v>113618</v>
      </c>
      <c r="F55" s="37" t="n">
        <f aca="false">E55*2</f>
        <v>227236</v>
      </c>
      <c r="G55" s="50" t="str">
        <f aca="false">IF(C21&gt;=F55,"✅  Yes","❌  Need "&amp;TEXT(F55-C21,"+#,##0")&amp;" more")</f>
        <v>❌  Need +84,236 more</v>
      </c>
      <c r="H55" s="49" t="n">
        <f aca="false">(M5+N5)*SQRT(C5*(1-C5)*(1/(C21*(1-I5))+1/(C21*I5)))</f>
        <v>0.000710346792997211</v>
      </c>
      <c r="I55" s="48" t="n">
        <f aca="false">(M5+N5)*SQRT(C5*(1-C5)*(2/C21))</f>
        <v>0.000301374620593467</v>
      </c>
      <c r="J55" s="61" t="str">
        <f aca="false">IF(H55&lt;=C55,"✅  Conclusive — MDE "&amp;TEXT(H55,"0.00%")&amp;" ≤ lift "&amp;TEXT(C55,"0.00%"),"⚠  Directional — MDE "&amp;TEXT(H55,"0.00%")&amp;" &gt; lift "&amp;TEXT(C55,"0.00%"))</f>
        <v>⚠  Directional — MDE 0.07% &gt; lift 0.04%</v>
      </c>
      <c r="K55" s="35"/>
      <c r="L55" s="35"/>
      <c r="M55" s="35"/>
      <c r="N55" s="35"/>
    </row>
    <row r="56" customFormat="false" ht="24" hidden="false" customHeight="true" outlineLevel="0" collapsed="false">
      <c r="A56" s="3"/>
      <c r="B56" s="62" t="str">
        <f aca="false">IF(COUNTIF(J50:J55,"✅*")=6,"✅  All 6 cells conclusive at current settings.","⚠  "&amp;COUNTIF(J50:J55,"⚠*")&amp;" cell(s) directional only. Try: lower Power (K5) or increase lift assumptions (row 9).")</f>
        <v>⚠  6 cell(s) directional only. Try: lower Power (K5) or increase lift assumptions (row 9).</v>
      </c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3"/>
    </row>
    <row r="57" customFormat="false" ht="27.75" hidden="false" customHeight="true" outlineLevel="0" collapsed="false">
      <c r="A57" s="3"/>
      <c r="B57" s="6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</sheetData>
  <mergeCells count="16">
    <mergeCell ref="A1:N1"/>
    <mergeCell ref="B3:C3"/>
    <mergeCell ref="D3:E3"/>
    <mergeCell ref="F3:H3"/>
    <mergeCell ref="J3:L3"/>
    <mergeCell ref="M3:N3"/>
    <mergeCell ref="B7:N7"/>
    <mergeCell ref="B11:N11"/>
    <mergeCell ref="B24:N24"/>
    <mergeCell ref="B26:K26"/>
    <mergeCell ref="B30:K30"/>
    <mergeCell ref="B34:K34"/>
    <mergeCell ref="B38:K38"/>
    <mergeCell ref="B42:K42"/>
    <mergeCell ref="B48:M48"/>
    <mergeCell ref="B56:M56"/>
  </mergeCells>
  <conditionalFormatting sqref="I26:I47">
    <cfRule type="cellIs" priority="2" operator="equal" aboveAverage="0" equalAverage="0" bottom="0" percent="0" rank="0" text="" dxfId="0">
      <formula>"✅  YES"</formula>
    </cfRule>
    <cfRule type="cellIs" priority="3" operator="equal" aboveAverage="0" equalAverage="0" bottom="0" percent="0" rank="0" text="" dxfId="1">
      <formula>"❌  NO"</formula>
    </cfRule>
  </conditionalFormatting>
  <conditionalFormatting sqref="B57:K57">
    <cfRule type="expression" priority="4" aboveAverage="0" equalAverage="0" bottom="0" percent="0" rank="0" text="" dxfId="0">
      <formula>LEFT(B57,2)="✅"</formula>
    </cfRule>
    <cfRule type="expression" priority="5" aboveAverage="0" equalAverage="0" bottom="0" percent="0" rank="0" text="" dxfId="1">
      <formula>LEFT(B57,2)="❌"</formula>
    </cfRule>
  </conditionalFormatting>
  <conditionalFormatting sqref="F50:F56">
    <cfRule type="expression" priority="6" aboveAverage="0" equalAverage="0" bottom="0" percent="0" rank="0" text="" dxfId="0">
      <formula>LEFT(F50,2)="✅"</formula>
    </cfRule>
    <cfRule type="expression" priority="7" aboveAverage="0" equalAverage="0" bottom="0" percent="0" rank="0" text="" dxfId="1">
      <formula>LEFT(F50,2)="❌"</formula>
    </cfRule>
  </conditionalFormatting>
  <conditionalFormatting sqref="G50:G55">
    <cfRule type="expression" priority="8" aboveAverage="0" equalAverage="0" bottom="0" percent="0" rank="0" text="" dxfId="0">
      <formula>LEFT(G50,2)="✅"</formula>
    </cfRule>
    <cfRule type="expression" priority="9" aboveAverage="0" equalAverage="0" bottom="0" percent="0" rank="0" text="" dxfId="1">
      <formula>LEFT(G50,2)="❌"</formula>
    </cfRule>
  </conditionalFormatting>
  <conditionalFormatting sqref="J50:J55">
    <cfRule type="expression" priority="10" aboveAverage="0" equalAverage="0" bottom="0" percent="0" rank="0" text="" dxfId="0">
      <formula>LEFT(J50,2)="✅"</formula>
    </cfRule>
    <cfRule type="expression" priority="11" aboveAverage="0" equalAverage="0" bottom="0" percent="0" rank="0" text="" dxfId="2">
      <formula>LEFT(J50,2)="⚠"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2026-03-16T20:26:20Z</dcterms:created>
  <dc:creator>openpyxl</dc:creator>
  <dc:description/>
  <dc:language>en-US</dc:language>
  <cp:lastModifiedBy/>
  <dcterms:modified xsi:type="dcterms:W3CDTF">2026-03-17T04:50:03Z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