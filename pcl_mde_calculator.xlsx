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ulate Minimum Lif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%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i val="1"/>
      <color rgb="00C00000"/>
    </font>
    <font>
      <i val="1"/>
      <color rgb="00404040"/>
    </font>
  </fonts>
  <fills count="6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C6EFCE"/>
        <bgColor rgb="00C6EFCE"/>
      </patternFill>
    </fill>
    <fill>
      <patternFill patternType="solid">
        <fgColor rgb="00FFFFCC"/>
        <bgColor rgb="00FFFFCC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0" borderId="0" pivotButton="0" quotePrefix="0" xfId="0"/>
    <xf numFmtId="3" fontId="0" fillId="3" borderId="0" pivotButton="0" quotePrefix="0" xfId="0"/>
    <xf numFmtId="10" fontId="0" fillId="3" borderId="0" pivotButton="0" quotePrefix="0" xfId="0"/>
    <xf numFmtId="164" fontId="0" fillId="0" borderId="0" pivotButton="0" quotePrefix="0" xfId="0"/>
    <xf numFmtId="0" fontId="1" fillId="0" borderId="1" pivotButton="0" quotePrefix="0" xfId="0"/>
    <xf numFmtId="0" fontId="1" fillId="4" borderId="1" pivotButton="0" quotePrefix="0" xfId="0"/>
    <xf numFmtId="3" fontId="0" fillId="4" borderId="1" pivotButton="0" quotePrefix="0" xfId="0"/>
    <xf numFmtId="10" fontId="0" fillId="4" borderId="1" pivotButton="0" quotePrefix="0" xfId="0"/>
    <xf numFmtId="10" fontId="0" fillId="3" borderId="1" pivotButton="0" quotePrefix="0" xfId="0"/>
    <xf numFmtId="10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2" fillId="5" borderId="1" applyAlignment="1" pivotButton="0" quotePrefix="0" xfId="0">
      <alignment horizontal="center" wrapText="1"/>
    </xf>
    <xf numFmtId="2" fontId="0" fillId="0" borderId="1" pivotButton="0" quotePrefix="0" xfId="0"/>
    <xf numFmtId="165" fontId="0" fillId="0" borderId="1" pivotButton="0" quotePrefix="0" xfId="0"/>
    <xf numFmtId="0" fontId="0" fillId="0" borderId="1" applyAlignment="1" pivotButton="0" quotePrefix="0" xfId="0">
      <alignment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48"/>
  <sheetViews>
    <sheetView zoomScale="90"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40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4" customWidth="1" min="9" max="9"/>
    <col width="42" customWidth="1" min="10" max="10"/>
    <col width="16" customWidth="1" min="11" max="11"/>
  </cols>
  <sheetData>
    <row r="2">
      <c r="A2" s="1" t="n"/>
      <c r="B2" s="2" t="inlineStr">
        <is>
          <t>Statistical Inputs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B3" s="3" t="inlineStr">
        <is>
          <t>Total sample size</t>
        </is>
      </c>
      <c r="C3" s="4" t="n">
        <v>528000</v>
      </c>
      <c r="E3" s="3" t="inlineStr">
        <is>
          <t>Response Rate stress test</t>
        </is>
      </c>
      <c r="F3" s="3" t="inlineStr">
        <is>
          <t>Increase from baseline:</t>
        </is>
      </c>
      <c r="G3" s="5" t="n">
        <v>0</v>
      </c>
    </row>
    <row r="4">
      <c r="B4" s="3" t="inlineStr">
        <is>
          <t>Split design</t>
        </is>
      </c>
      <c r="C4" t="inlineStr">
        <is>
          <t>3-way: 30/40/30</t>
        </is>
      </c>
      <c r="E4" t="inlineStr">
        <is>
          <t>Champion / Challenger placement test</t>
        </is>
      </c>
    </row>
    <row r="5">
      <c r="B5" s="3" t="inlineStr">
        <is>
          <t>Sales Model allocation</t>
        </is>
      </c>
      <c r="C5" s="5" t="n">
        <v>0.3</v>
      </c>
      <c r="E5" t="inlineStr">
        <is>
          <t>Challenger</t>
        </is>
      </c>
    </row>
    <row r="6">
      <c r="B6" s="3" t="inlineStr">
        <is>
          <t>Mobile Dashboard allocation</t>
        </is>
      </c>
      <c r="C6" s="5" t="n">
        <v>0.4</v>
      </c>
      <c r="E6" t="inlineStr">
        <is>
          <t>Challenger</t>
        </is>
      </c>
    </row>
    <row r="7">
      <c r="B7" s="3" t="inlineStr">
        <is>
          <t>Product Page allocation</t>
        </is>
      </c>
      <c r="C7" s="5" t="n">
        <v>0.3</v>
      </c>
      <c r="E7" t="inlineStr">
        <is>
          <t>Champion (current baseline)</t>
        </is>
      </c>
    </row>
    <row r="8">
      <c r="B8" s="3" t="inlineStr">
        <is>
          <t>Significance level</t>
        </is>
      </c>
      <c r="C8" s="5" t="n">
        <v>0.05</v>
      </c>
    </row>
    <row r="9">
      <c r="B9" s="3" t="inlineStr">
        <is>
          <t>Power level</t>
        </is>
      </c>
      <c r="C9" s="5" t="n">
        <v>0.8</v>
      </c>
    </row>
    <row r="11">
      <c r="A11" s="1" t="n"/>
      <c r="B11" s="2" t="inlineStr">
        <is>
          <t>Do Not Edit — Statistical Constants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</row>
    <row r="13">
      <c r="B13" s="3" t="inlineStr">
        <is>
          <t>Critical Value for Significance (Za)</t>
        </is>
      </c>
      <c r="C13" s="6">
        <f>NORM.S.INV(1-C8)</f>
        <v/>
      </c>
    </row>
    <row r="14">
      <c r="B14" s="3" t="inlineStr">
        <is>
          <t>Critical Value for Power (Zb)</t>
        </is>
      </c>
      <c r="C14" s="6">
        <f>NORM.S.INV(C9)</f>
        <v/>
      </c>
    </row>
    <row r="16">
      <c r="A16" s="1" t="n"/>
      <c r="B16" s="2" t="inlineStr">
        <is>
          <t>Population &amp; Baseline Response Rate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</row>
    <row r="17">
      <c r="A17" s="7" t="inlineStr"/>
      <c r="B17" s="7" t="inlineStr">
        <is>
          <t>Level</t>
        </is>
      </c>
      <c r="C17" s="7" t="inlineStr">
        <is>
          <t>n</t>
        </is>
      </c>
      <c r="D17" s="7" t="inlineStr">
        <is>
          <t>% of total</t>
        </is>
      </c>
      <c r="E17" s="7" t="inlineStr">
        <is>
          <t>Baseline RR</t>
        </is>
      </c>
      <c r="F17" s="7" t="inlineStr">
        <is>
          <t>Stress Test RR</t>
        </is>
      </c>
    </row>
    <row r="18">
      <c r="B18" s="8" t="inlineStr">
        <is>
          <t>Total Population</t>
        </is>
      </c>
      <c r="C18" s="9">
        <f>C3</f>
        <v/>
      </c>
      <c r="D18" s="10" t="n">
        <v>1</v>
      </c>
      <c r="E18" s="11" t="n">
        <v>0.15</v>
      </c>
      <c r="F18" s="12">
        <f>E18*(1+G3)</f>
        <v/>
      </c>
    </row>
    <row r="19">
      <c r="B19" s="13" t="inlineStr">
        <is>
          <t>Sales Model (Challenger)</t>
        </is>
      </c>
      <c r="C19" s="14">
        <f>C3*C5</f>
        <v/>
      </c>
      <c r="D19" s="12">
        <f>C5</f>
        <v/>
      </c>
      <c r="E19" s="12">
        <f>E18</f>
        <v/>
      </c>
      <c r="F19" s="12">
        <f>F18</f>
        <v/>
      </c>
    </row>
    <row r="20">
      <c r="B20" s="13" t="inlineStr">
        <is>
          <t>Mobile Dashboard (Challenger)</t>
        </is>
      </c>
      <c r="C20" s="14">
        <f>C3*C6</f>
        <v/>
      </c>
      <c r="D20" s="12">
        <f>C6</f>
        <v/>
      </c>
      <c r="E20" s="12">
        <f>E18</f>
        <v/>
      </c>
      <c r="F20" s="12">
        <f>F18</f>
        <v/>
      </c>
    </row>
    <row r="21">
      <c r="B21" s="13" t="inlineStr">
        <is>
          <t>Product Page (Champion)</t>
        </is>
      </c>
      <c r="C21" s="14">
        <f>C3*C7</f>
        <v/>
      </c>
      <c r="D21" s="12">
        <f>C7</f>
        <v/>
      </c>
      <c r="E21" s="12">
        <f>E18</f>
        <v/>
      </c>
      <c r="F21" s="12">
        <f>F18</f>
        <v/>
      </c>
    </row>
    <row r="23">
      <c r="A23" s="1" t="n"/>
      <c r="B23" s="2" t="inlineStr">
        <is>
          <t>Comparison Tests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</row>
    <row r="24">
      <c r="A24" s="15" t="inlineStr">
        <is>
          <t>#</t>
        </is>
      </c>
      <c r="B24" s="15" t="inlineStr">
        <is>
          <t>Comparison</t>
        </is>
      </c>
      <c r="C24" s="15" t="inlineStr">
        <is>
          <t>What it tests</t>
        </is>
      </c>
      <c r="D24" s="15" t="inlineStr">
        <is>
          <t>n1</t>
        </is>
      </c>
      <c r="E24" s="15" t="inlineStr">
        <is>
          <t>n2</t>
        </is>
      </c>
      <c r="F24" s="15" t="inlineStr">
        <is>
          <t>Sum</t>
        </is>
      </c>
      <c r="G24" s="15" t="inlineStr">
        <is>
          <t>Ratio</t>
        </is>
      </c>
      <c r="H24" s="15" t="inlineStr">
        <is>
          <t>Baseline RR</t>
        </is>
      </c>
      <c r="I24" s="15" t="inlineStr">
        <is>
          <t>MDE</t>
        </is>
      </c>
      <c r="J24" s="15" t="inlineStr">
        <is>
          <t>Interpretation</t>
        </is>
      </c>
    </row>
    <row r="25">
      <c r="A25" s="13" t="n">
        <v>1</v>
      </c>
      <c r="B25" s="13" t="inlineStr">
        <is>
          <t>Sales Model vs Mobile Dashboard</t>
        </is>
      </c>
      <c r="C25" s="13" t="inlineStr">
        <is>
          <t>Did Sales Model drive higher response than Dashboard?</t>
        </is>
      </c>
      <c r="D25" s="14">
        <f>C19</f>
        <v/>
      </c>
      <c r="E25" s="14">
        <f>C20</f>
        <v/>
      </c>
      <c r="F25" s="14">
        <f>D25+E25</f>
        <v/>
      </c>
      <c r="G25" s="16">
        <f>D25/E25</f>
        <v/>
      </c>
      <c r="H25" s="12">
        <f>F18</f>
        <v/>
      </c>
      <c r="I25" s="17">
        <f>ROUND(($C$13+$C$14)*SQRT(H25*(1-H25)*(1/D25+1/E25)),4)</f>
        <v/>
      </c>
      <c r="J25" s="18">
        <f>"Can detect differences "&amp;CHAR(8805)&amp;" "&amp;TEXT(I25*100,"0.00")&amp;" pp"</f>
        <v/>
      </c>
    </row>
    <row r="26">
      <c r="A26" s="13" t="n">
        <v>2</v>
      </c>
      <c r="B26" s="13" t="inlineStr">
        <is>
          <t>Sales Model vs Product Page Champion</t>
        </is>
      </c>
      <c r="C26" s="13" t="inlineStr">
        <is>
          <t>Did Sales Model drive higher response than Product Page?</t>
        </is>
      </c>
      <c r="D26" s="14">
        <f>C19</f>
        <v/>
      </c>
      <c r="E26" s="14">
        <f>C21</f>
        <v/>
      </c>
      <c r="F26" s="14">
        <f>D26+E26</f>
        <v/>
      </c>
      <c r="G26" s="16">
        <f>D26/E26</f>
        <v/>
      </c>
      <c r="H26" s="12">
        <f>F18</f>
        <v/>
      </c>
      <c r="I26" s="17">
        <f>ROUND(($C$13+$C$14)*SQRT(H26*(1-H26)*(1/D26+1/E26)),4)</f>
        <v/>
      </c>
      <c r="J26" s="18">
        <f>"Can detect differences "&amp;CHAR(8805)&amp;" "&amp;TEXT(I26*100,"0.00")&amp;" pp"</f>
        <v/>
      </c>
    </row>
    <row r="27">
      <c r="A27" s="13" t="n">
        <v>3</v>
      </c>
      <c r="B27" s="13" t="inlineStr">
        <is>
          <t>Mobile Dashboard vs Product Page Champion</t>
        </is>
      </c>
      <c r="C27" s="13" t="inlineStr">
        <is>
          <t>Did Dashboard drive higher response than Product Page?</t>
        </is>
      </c>
      <c r="D27" s="14">
        <f>C20</f>
        <v/>
      </c>
      <c r="E27" s="14">
        <f>C21</f>
        <v/>
      </c>
      <c r="F27" s="14">
        <f>D27+E27</f>
        <v/>
      </c>
      <c r="G27" s="16">
        <f>D27/E27</f>
        <v/>
      </c>
      <c r="H27" s="12">
        <f>F18</f>
        <v/>
      </c>
      <c r="I27" s="17">
        <f>ROUND(($C$13+$C$14)*SQRT(H27*(1-H27)*(1/D27+1/E27)),4)</f>
        <v/>
      </c>
      <c r="J27" s="18">
        <f>"Can detect differences "&amp;CHAR(8805)&amp;" "&amp;TEXT(I27*100,"0.00")&amp;" pp"</f>
        <v/>
      </c>
    </row>
    <row r="28">
      <c r="A28" s="13" t="n">
        <v>4</v>
      </c>
      <c r="B28" s="13" t="inlineStr">
        <is>
          <t>Sales Model vs (Dashboard + Product Page)</t>
        </is>
      </c>
      <c r="C28" s="13" t="inlineStr">
        <is>
          <t>Did Sales Model outperform the other two combined?</t>
        </is>
      </c>
      <c r="D28" s="14">
        <f>C19</f>
        <v/>
      </c>
      <c r="E28" s="14">
        <f>C20+C21</f>
        <v/>
      </c>
      <c r="F28" s="14">
        <f>D28+E28</f>
        <v/>
      </c>
      <c r="G28" s="16">
        <f>D28/E28</f>
        <v/>
      </c>
      <c r="H28" s="12">
        <f>F18</f>
        <v/>
      </c>
      <c r="I28" s="17">
        <f>ROUND(($C$13+$C$14)*SQRT(H28*(1-H28)*(1/D28+1/E28)),4)</f>
        <v/>
      </c>
      <c r="J28" s="18">
        <f>"Can detect differences "&amp;CHAR(8805)&amp;" "&amp;TEXT(I28*100,"0.00")&amp;" pp"</f>
        <v/>
      </c>
    </row>
    <row r="29">
      <c r="A29" s="13" t="n">
        <v>5</v>
      </c>
      <c r="B29" s="13" t="inlineStr">
        <is>
          <t>Mobile Dashboard vs (Sales Model + Product Page)</t>
        </is>
      </c>
      <c r="C29" s="13" t="inlineStr">
        <is>
          <t>Did Dashboard outperform the other two combined?</t>
        </is>
      </c>
      <c r="D29" s="14">
        <f>C20</f>
        <v/>
      </c>
      <c r="E29" s="14">
        <f>C19+C21</f>
        <v/>
      </c>
      <c r="F29" s="14">
        <f>D29+E29</f>
        <v/>
      </c>
      <c r="G29" s="16">
        <f>D29/E29</f>
        <v/>
      </c>
      <c r="H29" s="12">
        <f>F18</f>
        <v/>
      </c>
      <c r="I29" s="17">
        <f>ROUND(($C$13+$C$14)*SQRT(H29*(1-H29)*(1/D29+1/E29)),4)</f>
        <v/>
      </c>
      <c r="J29" s="18">
        <f>"Can detect differences "&amp;CHAR(8805)&amp;" "&amp;TEXT(I29*100,"0.00")&amp;" pp"</f>
        <v/>
      </c>
    </row>
    <row r="30">
      <c r="A30" s="13" t="n">
        <v>6</v>
      </c>
      <c r="B30" s="13" t="inlineStr">
        <is>
          <t>Product Page vs (Sales Model + Dashboard)</t>
        </is>
      </c>
      <c r="C30" s="13" t="inlineStr">
        <is>
          <t>Did Product Page outperform the other two combined?</t>
        </is>
      </c>
      <c r="D30" s="14">
        <f>C21</f>
        <v/>
      </c>
      <c r="E30" s="14">
        <f>C19+C20</f>
        <v/>
      </c>
      <c r="F30" s="14">
        <f>D30+E30</f>
        <v/>
      </c>
      <c r="G30" s="16">
        <f>D30/E30</f>
        <v/>
      </c>
      <c r="H30" s="12">
        <f>F18</f>
        <v/>
      </c>
      <c r="I30" s="17">
        <f>ROUND(($C$13+$C$14)*SQRT(H30*(1-H30)*(1/D30+1/E30)),4)</f>
        <v/>
      </c>
      <c r="J30" s="18">
        <f>"Can detect differences "&amp;CHAR(8805)&amp;" "&amp;TEXT(I30*100,"0.00")&amp;" pp"</f>
        <v/>
      </c>
    </row>
    <row r="31">
      <c r="A31" s="13" t="n">
        <v>7</v>
      </c>
      <c r="B31" s="13" t="inlineStr">
        <is>
          <t>Smallest Arm vs Rest (conservative)</t>
        </is>
      </c>
      <c r="C31" s="13" t="inlineStr">
        <is>
          <t>Conservative worst-case: can we detect differences for the smallest group?</t>
        </is>
      </c>
      <c r="D31" s="14">
        <f>MIN(C19:C21)</f>
        <v/>
      </c>
      <c r="E31" s="14">
        <f>C3-MIN(C19:C21)</f>
        <v/>
      </c>
      <c r="F31" s="14">
        <f>D31+E31</f>
        <v/>
      </c>
      <c r="G31" s="16">
        <f>D31/E31</f>
        <v/>
      </c>
      <c r="H31" s="12">
        <f>F18</f>
        <v/>
      </c>
      <c r="I31" s="17">
        <f>ROUND(($C$13+$C$14)*SQRT(H31*(1-H31)*(1/D31+1/E31)),4)</f>
        <v/>
      </c>
      <c r="J31" s="18">
        <f>"Can detect differences "&amp;CHAR(8805)&amp;" "&amp;TEXT(I31*100,"0.00")&amp;" pp"</f>
        <v/>
      </c>
    </row>
    <row r="32" ht="35" customHeight="1">
      <c r="B32" s="19" t="inlineStr">
        <is>
          <t>With 7 comparisons, Bonferroni-adjusted significance = 5%/7 ≈ 0.71% per comparison (Za ≈ 2.4573). MDE increases slightly but remains small given sample sizes.</t>
        </is>
      </c>
    </row>
    <row r="33" ht="40" customHeight="1">
      <c r="B33" s="20" t="inlineStr">
        <is>
          <t>The MDE is the minimum lift (in percentage points) detectable with 80% power at 5% significance. If the actual difference between placements is smaller than the MDE, this test will not reliably detect it.</t>
        </is>
      </c>
    </row>
    <row r="35">
      <c r="A35" s="1" t="n"/>
      <c r="B35" s="2" t="inlineStr">
        <is>
          <t>Stress Test Scenarios</t>
        </is>
      </c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</row>
    <row r="36">
      <c r="A36" s="15" t="inlineStr"/>
      <c r="B36" s="15" t="inlineStr">
        <is>
          <t>Scenario</t>
        </is>
      </c>
      <c r="C36" s="15" t="inlineStr">
        <is>
          <t>Baseline RR</t>
        </is>
      </c>
      <c r="D36" s="15" t="inlineStr">
        <is>
          <t>Comp 1 MDE</t>
        </is>
      </c>
      <c r="E36" s="15" t="inlineStr">
        <is>
          <t>Comp 2 MDE</t>
        </is>
      </c>
      <c r="F36" s="15" t="inlineStr">
        <is>
          <t>Comp 3 MDE</t>
        </is>
      </c>
      <c r="G36" s="15" t="inlineStr">
        <is>
          <t>Comp 4 MDE</t>
        </is>
      </c>
      <c r="H36" s="15" t="inlineStr">
        <is>
          <t>Comp 5 MDE</t>
        </is>
      </c>
      <c r="I36" s="15" t="inlineStr">
        <is>
          <t>Comp 6 MDE</t>
        </is>
      </c>
      <c r="J36" s="15" t="inlineStr">
        <is>
          <t>Comp 7 MDE</t>
        </is>
      </c>
      <c r="K36" s="15" t="inlineStr">
        <is>
          <t>Worst Case MDE</t>
        </is>
      </c>
    </row>
    <row r="37">
      <c r="B37" s="13" t="inlineStr">
        <is>
          <t>Pessimistic</t>
        </is>
      </c>
      <c r="C37" s="11" t="n">
        <v>0.14</v>
      </c>
      <c r="D37" s="17">
        <f>ROUND(($C$13+$C$14)*SQRT(C37*(1-C37)*(1/C19+1/C20)),4)</f>
        <v/>
      </c>
      <c r="E37" s="17">
        <f>ROUND(($C$13+$C$14)*SQRT(C37*(1-C37)*(1/C19+1/C21)),4)</f>
        <v/>
      </c>
      <c r="F37" s="17">
        <f>ROUND(($C$13+$C$14)*SQRT(C37*(1-C37)*(1/C20+1/C21)),4)</f>
        <v/>
      </c>
      <c r="G37" s="17">
        <f>ROUND(($C$13+$C$14)*SQRT(C37*(1-C37)*(1/C19+1/(C20+C21))),4)</f>
        <v/>
      </c>
      <c r="H37" s="17">
        <f>ROUND(($C$13+$C$14)*SQRT(C37*(1-C37)*(1/C20+1/(C19+C21))),4)</f>
        <v/>
      </c>
      <c r="I37" s="17">
        <f>ROUND(($C$13+$C$14)*SQRT(C37*(1-C37)*(1/C21+1/(C19+C20))),4)</f>
        <v/>
      </c>
      <c r="J37" s="17">
        <f>ROUND(($C$13+$C$14)*SQRT(C37*(1-C37)*(1/(MIN(C19:C21))+1/(C3-MIN(C19:C21)))),4)</f>
        <v/>
      </c>
      <c r="K37" s="17">
        <f>MAX(D37:J37)</f>
        <v/>
      </c>
    </row>
    <row r="38">
      <c r="B38" s="13" t="inlineStr">
        <is>
          <t>Current</t>
        </is>
      </c>
      <c r="C38" s="11" t="n">
        <v>0.15</v>
      </c>
      <c r="D38" s="17">
        <f>ROUND(($C$13+$C$14)*SQRT(C38*(1-C38)*(1/C19+1/C20)),4)</f>
        <v/>
      </c>
      <c r="E38" s="17">
        <f>ROUND(($C$13+$C$14)*SQRT(C38*(1-C38)*(1/C19+1/C21)),4)</f>
        <v/>
      </c>
      <c r="F38" s="17">
        <f>ROUND(($C$13+$C$14)*SQRT(C38*(1-C38)*(1/C20+1/C21)),4)</f>
        <v/>
      </c>
      <c r="G38" s="17">
        <f>ROUND(($C$13+$C$14)*SQRT(C38*(1-C38)*(1/C19+1/(C20+C21))),4)</f>
        <v/>
      </c>
      <c r="H38" s="17">
        <f>ROUND(($C$13+$C$14)*SQRT(C38*(1-C38)*(1/C20+1/(C19+C21))),4)</f>
        <v/>
      </c>
      <c r="I38" s="17">
        <f>ROUND(($C$13+$C$14)*SQRT(C38*(1-C38)*(1/C21+1/(C19+C20))),4)</f>
        <v/>
      </c>
      <c r="J38" s="17">
        <f>ROUND(($C$13+$C$14)*SQRT(C38*(1-C38)*(1/(MIN(C19:C21))+1/(C3-MIN(C19:C21)))),4)</f>
        <v/>
      </c>
      <c r="K38" s="17">
        <f>MAX(D38:J38)</f>
        <v/>
      </c>
    </row>
    <row r="39">
      <c r="B39" s="13" t="inlineStr">
        <is>
          <t>Optimistic</t>
        </is>
      </c>
      <c r="C39" s="11" t="n">
        <v>0.22</v>
      </c>
      <c r="D39" s="17">
        <f>ROUND(($C$13+$C$14)*SQRT(C39*(1-C39)*(1/C19+1/C20)),4)</f>
        <v/>
      </c>
      <c r="E39" s="17">
        <f>ROUND(($C$13+$C$14)*SQRT(C39*(1-C39)*(1/C19+1/C21)),4)</f>
        <v/>
      </c>
      <c r="F39" s="17">
        <f>ROUND(($C$13+$C$14)*SQRT(C39*(1-C39)*(1/C20+1/C21)),4)</f>
        <v/>
      </c>
      <c r="G39" s="17">
        <f>ROUND(($C$13+$C$14)*SQRT(C39*(1-C39)*(1/C19+1/(C20+C21))),4)</f>
        <v/>
      </c>
      <c r="H39" s="17">
        <f>ROUND(($C$13+$C$14)*SQRT(C39*(1-C39)*(1/C20+1/(C19+C21))),4)</f>
        <v/>
      </c>
      <c r="I39" s="17">
        <f>ROUND(($C$13+$C$14)*SQRT(C39*(1-C39)*(1/C21+1/(C19+C20))),4)</f>
        <v/>
      </c>
      <c r="J39" s="17">
        <f>ROUND(($C$13+$C$14)*SQRT(C39*(1-C39)*(1/(MIN(C19:C21))+1/(C3-MIN(C19:C21)))),4)</f>
        <v/>
      </c>
      <c r="K39" s="17">
        <f>MAX(D39:J39)</f>
        <v/>
      </c>
    </row>
    <row r="41">
      <c r="A41" s="1" t="n"/>
      <c r="B41" s="2" t="inlineStr">
        <is>
          <t>Notes</t>
        </is>
      </c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</row>
    <row r="42">
      <c r="B42" t="inlineStr">
        <is>
          <t>1. No control group — champion/challenger placement test.</t>
        </is>
      </c>
    </row>
    <row r="43">
      <c r="B43" t="inlineStr">
        <is>
          <t>2. Everyone gets the PCL offer — variable is WHERE they see it.</t>
        </is>
      </c>
    </row>
    <row r="44">
      <c r="B44" t="inlineStr">
        <is>
          <t>3. Baseline RR = all-channel population-level rate (not mobile share).</t>
        </is>
      </c>
    </row>
    <row r="45">
      <c r="B45" t="inlineStr">
        <is>
          <t>4. PCL mnemonic confirmed by Daniel Chin (was PLI).</t>
        </is>
      </c>
    </row>
    <row r="46">
      <c r="B46" t="inlineStr">
        <is>
          <t>5. Green cells are editable — change them to see recalculations.</t>
        </is>
      </c>
    </row>
    <row r="47">
      <c r="B47" t="inlineStr">
        <is>
          <t>6. MDE formula: (Za + Zb) * SQRT(p0 * (1-p0) * (1/n1 + 1/n2)).</t>
        </is>
      </c>
    </row>
    <row r="48">
      <c r="B48" t="inlineStr">
        <is>
          <t>7. With 7 comparisons, Bonferroni-adjusted alpha = 5%/7 = 0.71% per test.</t>
        </is>
      </c>
    </row>
  </sheetData>
  <mergeCells count="2">
    <mergeCell ref="B33:J33"/>
    <mergeCell ref="B32:J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2026-03-19T22:24:33Z</dcterms:created>
  <dcterms:modified xmlns:dcterms="http://purl.org/dc/terms/" xmlns:xsi="http://www.w3.org/2001/XMLSchema-instance" xsi:type="dcterms:W3CDTF">2026-03-19T22:24:33Z</dcterms:modified>
</cp:coreProperties>
</file>