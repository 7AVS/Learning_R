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e Minimum Li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&quot;x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3" fontId="0" fillId="3" borderId="0" pivotButton="0" quotePrefix="0" xfId="0"/>
    <xf numFmtId="10" fontId="0" fillId="3" borderId="0" pivotButton="0" quotePrefix="0" xfId="0"/>
    <xf numFmtId="164" fontId="0" fillId="0" borderId="0" pivotButton="0" quotePrefix="0" xfId="0"/>
    <xf numFmtId="0" fontId="1" fillId="0" borderId="1" pivotButton="0" quotePrefix="0" xfId="0"/>
    <xf numFmtId="0" fontId="1" fillId="4" borderId="1" pivotButton="0" quotePrefix="0" xfId="0"/>
    <xf numFmtId="3" fontId="0" fillId="4" borderId="1" pivotButton="0" quotePrefix="0" xfId="0"/>
    <xf numFmtId="10" fontId="0" fillId="4" borderId="1" pivotButton="0" quotePrefix="0" xfId="0"/>
    <xf numFmtId="10" fontId="0" fillId="3" borderId="1" pivotButton="0" quotePrefix="0" xfId="0"/>
    <xf numFmtId="10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5" borderId="1" applyAlignment="1" pivotButton="0" quotePrefix="0" xfId="0">
      <alignment horizontal="center" wrapText="1"/>
    </xf>
    <xf numFmtId="2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2">
    <dxf>
      <font>
        <b val="1"/>
        <color rgb="00006100"/>
      </font>
      <fill>
        <patternFill>
          <bgColor rgb="00C6EFCE"/>
        </patternFill>
      </fill>
    </dxf>
    <dxf>
      <font>
        <b val="1"/>
        <color rgb="00FF0000"/>
      </font>
      <fill>
        <patternFill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44"/>
  <sheetViews>
    <sheetView zoomScale="9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A2" s="1" t="n"/>
      <c r="B2" s="2" t="inlineStr">
        <is>
          <t>Statistical Inputs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B3" s="3" t="inlineStr">
        <is>
          <t>Total sample size</t>
        </is>
      </c>
      <c r="C3" s="4" t="n">
        <v>528000</v>
      </c>
      <c r="E3" s="3" t="inlineStr">
        <is>
          <t>Response Rate stress test</t>
        </is>
      </c>
      <c r="F3" s="3" t="inlineStr">
        <is>
          <t>Increase from baseline:</t>
        </is>
      </c>
      <c r="G3" s="5" t="n">
        <v>0</v>
      </c>
    </row>
    <row r="4">
      <c r="B4" s="3" t="inlineStr">
        <is>
          <t>Split design</t>
        </is>
      </c>
      <c r="C4" t="inlineStr">
        <is>
          <t>3-way: 30/40/30</t>
        </is>
      </c>
      <c r="E4" t="inlineStr">
        <is>
          <t>Champion / Challenger placement test</t>
        </is>
      </c>
    </row>
    <row r="5">
      <c r="B5" s="3" t="inlineStr">
        <is>
          <t>Sales Model allocation</t>
        </is>
      </c>
      <c r="C5" s="5" t="n">
        <v>0.3</v>
      </c>
      <c r="E5" t="inlineStr">
        <is>
          <t>Challenger</t>
        </is>
      </c>
    </row>
    <row r="6">
      <c r="B6" s="3" t="inlineStr">
        <is>
          <t>Mobile Dashboard allocation</t>
        </is>
      </c>
      <c r="C6" s="5" t="n">
        <v>0.4</v>
      </c>
      <c r="E6" t="inlineStr">
        <is>
          <t>Challenger</t>
        </is>
      </c>
    </row>
    <row r="7">
      <c r="B7" s="3" t="inlineStr">
        <is>
          <t>Product Page allocation</t>
        </is>
      </c>
      <c r="C7" s="5" t="n">
        <v>0.3</v>
      </c>
      <c r="E7" t="inlineStr">
        <is>
          <t>Champion (current baseline)</t>
        </is>
      </c>
    </row>
    <row r="8">
      <c r="B8" s="3" t="inlineStr">
        <is>
          <t>Significance level</t>
        </is>
      </c>
      <c r="C8" s="5" t="n">
        <v>0.05</v>
      </c>
    </row>
    <row r="9">
      <c r="B9" s="3" t="inlineStr">
        <is>
          <t>Power level</t>
        </is>
      </c>
      <c r="C9" s="5" t="n">
        <v>0.8</v>
      </c>
    </row>
    <row r="10">
      <c r="B10" s="3" t="inlineStr">
        <is>
          <t>Target Lift</t>
        </is>
      </c>
      <c r="C10" s="5" t="n">
        <v>0.05</v>
      </c>
    </row>
    <row r="11">
      <c r="A11" s="1" t="n"/>
      <c r="B11" s="2" t="inlineStr">
        <is>
          <t>Do Not Edit — Statistical Constants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3">
      <c r="B13" s="3" t="inlineStr">
        <is>
          <t>Critical Value for Significance (Za)</t>
        </is>
      </c>
      <c r="C13" s="6">
        <f>NORM.S.INV(1-C8)</f>
        <v/>
      </c>
    </row>
    <row r="14">
      <c r="B14" s="3" t="inlineStr">
        <is>
          <t>Critical Value for Power (Zb)</t>
        </is>
      </c>
      <c r="C14" s="6">
        <f>NORM.S.INV(C9)</f>
        <v/>
      </c>
    </row>
    <row r="16">
      <c r="A16" s="1" t="n"/>
      <c r="B16" s="2" t="inlineStr">
        <is>
          <t>Population &amp; Baseline Response Rate</t>
        </is>
      </c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7" t="inlineStr"/>
      <c r="B17" s="7" t="inlineStr">
        <is>
          <t>Level</t>
        </is>
      </c>
      <c r="C17" s="7" t="inlineStr">
        <is>
          <t>n</t>
        </is>
      </c>
      <c r="D17" s="7" t="inlineStr">
        <is>
          <t>% of total</t>
        </is>
      </c>
      <c r="E17" s="7" t="inlineStr">
        <is>
          <t>Baseline RR</t>
        </is>
      </c>
      <c r="F17" s="7" t="inlineStr">
        <is>
          <t>Stress Test RR</t>
        </is>
      </c>
    </row>
    <row r="18">
      <c r="B18" s="8" t="inlineStr">
        <is>
          <t>Total Population</t>
        </is>
      </c>
      <c r="C18" s="9">
        <f>C3</f>
        <v/>
      </c>
      <c r="D18" s="10" t="n">
        <v>1</v>
      </c>
      <c r="E18" s="11" t="n">
        <v>0.15</v>
      </c>
      <c r="F18" s="12">
        <f>E18*(1+G3)</f>
        <v/>
      </c>
    </row>
    <row r="19">
      <c r="B19" s="13" t="inlineStr">
        <is>
          <t>Sales Model (Challenger)</t>
        </is>
      </c>
      <c r="C19" s="14">
        <f>C3*C5</f>
        <v/>
      </c>
      <c r="D19" s="12">
        <f>C5</f>
        <v/>
      </c>
      <c r="E19" s="12">
        <f>E18</f>
        <v/>
      </c>
      <c r="F19" s="12">
        <f>F18</f>
        <v/>
      </c>
    </row>
    <row r="20">
      <c r="B20" s="13" t="inlineStr">
        <is>
          <t>Mobile Dashboard (Challenger)</t>
        </is>
      </c>
      <c r="C20" s="14">
        <f>C3*C6</f>
        <v/>
      </c>
      <c r="D20" s="12">
        <f>C6</f>
        <v/>
      </c>
      <c r="E20" s="12">
        <f>E18</f>
        <v/>
      </c>
      <c r="F20" s="12">
        <f>F18</f>
        <v/>
      </c>
    </row>
    <row r="21">
      <c r="B21" s="13" t="inlineStr">
        <is>
          <t>Product Page (Champion)</t>
        </is>
      </c>
      <c r="C21" s="14">
        <f>C3*C7</f>
        <v/>
      </c>
      <c r="D21" s="12">
        <f>C7</f>
        <v/>
      </c>
      <c r="E21" s="12">
        <f>E18</f>
        <v/>
      </c>
      <c r="F21" s="12">
        <f>F18</f>
        <v/>
      </c>
    </row>
    <row r="23">
      <c r="A23" s="1" t="n"/>
      <c r="B23" s="2" t="inlineStr">
        <is>
          <t>Comparison Tests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5" t="inlineStr">
        <is>
          <t>#</t>
        </is>
      </c>
      <c r="B24" s="15" t="inlineStr">
        <is>
          <t>Comparison</t>
        </is>
      </c>
      <c r="C24" s="15" t="inlineStr">
        <is>
          <t>What it tests</t>
        </is>
      </c>
      <c r="D24" s="15" t="inlineStr">
        <is>
          <t>n1</t>
        </is>
      </c>
      <c r="E24" s="15" t="inlineStr">
        <is>
          <t>n2</t>
        </is>
      </c>
      <c r="F24" s="15" t="inlineStr">
        <is>
          <t>Sum</t>
        </is>
      </c>
      <c r="G24" s="15" t="inlineStr">
        <is>
          <t>Ratio</t>
        </is>
      </c>
      <c r="H24" s="15" t="inlineStr">
        <is>
          <t>Baseline RR</t>
        </is>
      </c>
      <c r="I24" s="15" t="inlineStr">
        <is>
          <t>MDE</t>
        </is>
      </c>
      <c r="J24" s="15" t="inlineStr">
        <is>
          <t>Target Lift</t>
        </is>
      </c>
      <c r="K24" s="15" t="inlineStr">
        <is>
          <t>Headroom</t>
        </is>
      </c>
      <c r="L24" s="15" t="inlineStr">
        <is>
          <t>Status</t>
        </is>
      </c>
    </row>
    <row r="25">
      <c r="A25" s="13" t="n">
        <v>1</v>
      </c>
      <c r="B25" s="13" t="inlineStr">
        <is>
          <t>Sales Model vs Mobile Dashboard</t>
        </is>
      </c>
      <c r="C25" s="13" t="inlineStr">
        <is>
          <t>Did Sales Model drive higher response than Dashboard?</t>
        </is>
      </c>
      <c r="D25" s="14">
        <f>C19</f>
        <v/>
      </c>
      <c r="E25" s="14">
        <f>C20</f>
        <v/>
      </c>
      <c r="F25" s="14">
        <f>D25+E25</f>
        <v/>
      </c>
      <c r="G25" s="16">
        <f>D25/E25</f>
        <v/>
      </c>
      <c r="H25" s="12">
        <f>F18</f>
        <v/>
      </c>
      <c r="I25" s="17">
        <f>ROUND(($C$13+$C$14)*SQRT(H25*(1-H25)*(1/D25+1/E25)),4)</f>
        <v/>
      </c>
      <c r="J25" s="12">
        <f>$C$10</f>
        <v/>
      </c>
      <c r="K25" s="18">
        <f>J25/I25</f>
        <v/>
      </c>
      <c r="L25" s="13">
        <f>IF(I25&lt;J25,"OK","NOT OK")</f>
        <v/>
      </c>
    </row>
    <row r="26">
      <c r="A26" s="13" t="n">
        <v>2</v>
      </c>
      <c r="B26" s="13" t="inlineStr">
        <is>
          <t>Sales Model vs Product Page</t>
        </is>
      </c>
      <c r="C26" s="13" t="inlineStr">
        <is>
          <t>Did Sales Model drive higher response than Product Page?</t>
        </is>
      </c>
      <c r="D26" s="14">
        <f>C19</f>
        <v/>
      </c>
      <c r="E26" s="14">
        <f>C21</f>
        <v/>
      </c>
      <c r="F26" s="14">
        <f>D26+E26</f>
        <v/>
      </c>
      <c r="G26" s="16">
        <f>D26/E26</f>
        <v/>
      </c>
      <c r="H26" s="12">
        <f>F18</f>
        <v/>
      </c>
      <c r="I26" s="17">
        <f>ROUND(($C$13+$C$14)*SQRT(H26*(1-H26)*(1/D26+1/E26)),4)</f>
        <v/>
      </c>
      <c r="J26" s="12">
        <f>$C$10</f>
        <v/>
      </c>
      <c r="K26" s="18">
        <f>J26/I26</f>
        <v/>
      </c>
      <c r="L26" s="13">
        <f>IF(I26&lt;J26,"OK","NOT OK")</f>
        <v/>
      </c>
    </row>
    <row r="27">
      <c r="A27" s="13" t="n">
        <v>3</v>
      </c>
      <c r="B27" s="13" t="inlineStr">
        <is>
          <t>Mobile Dashboard vs Product Page</t>
        </is>
      </c>
      <c r="C27" s="13" t="inlineStr">
        <is>
          <t>Did Dashboard drive higher response than Product Page?</t>
        </is>
      </c>
      <c r="D27" s="14">
        <f>C20</f>
        <v/>
      </c>
      <c r="E27" s="14">
        <f>C21</f>
        <v/>
      </c>
      <c r="F27" s="14">
        <f>D27+E27</f>
        <v/>
      </c>
      <c r="G27" s="16">
        <f>D27/E27</f>
        <v/>
      </c>
      <c r="H27" s="12">
        <f>F18</f>
        <v/>
      </c>
      <c r="I27" s="17">
        <f>ROUND(($C$13+$C$14)*SQRT(H27*(1-H27)*(1/D27+1/E27)),4)</f>
        <v/>
      </c>
      <c r="J27" s="12">
        <f>$C$10</f>
        <v/>
      </c>
      <c r="K27" s="18">
        <f>J27/I27</f>
        <v/>
      </c>
      <c r="L27" s="13">
        <f>IF(I27&lt;J27,"OK","NOT OK")</f>
        <v/>
      </c>
    </row>
    <row r="28">
      <c r="A28" s="13" t="n">
        <v>4</v>
      </c>
      <c r="B28" s="13" t="inlineStr">
        <is>
          <t>Smallest Arm vs Rest (conservative)</t>
        </is>
      </c>
      <c r="C28" s="13" t="inlineStr">
        <is>
          <t>Did winning placement outperform others?</t>
        </is>
      </c>
      <c r="D28" s="14">
        <f>MIN(C19:C21)</f>
        <v/>
      </c>
      <c r="E28" s="14">
        <f>C3-MIN(C19:C21)</f>
        <v/>
      </c>
      <c r="F28" s="14">
        <f>D28+E28</f>
        <v/>
      </c>
      <c r="G28" s="16">
        <f>D28/E28</f>
        <v/>
      </c>
      <c r="H28" s="12">
        <f>F18</f>
        <v/>
      </c>
      <c r="I28" s="17">
        <f>ROUND(($C$13+$C$14)*SQRT(H28*(1-H28)*(1/D28+1/E28)),4)</f>
        <v/>
      </c>
      <c r="J28" s="12">
        <f>$C$10</f>
        <v/>
      </c>
      <c r="K28" s="18">
        <f>J28/I28</f>
        <v/>
      </c>
      <c r="L28" s="13">
        <f>IF(I28&lt;J28,"OK","NOT OK")</f>
        <v/>
      </c>
    </row>
    <row r="31">
      <c r="A31" s="1" t="n"/>
      <c r="B31" s="2" t="inlineStr">
        <is>
          <t>Stress Test Scenarios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5" t="inlineStr"/>
      <c r="B32" s="15" t="inlineStr">
        <is>
          <t>Scenario</t>
        </is>
      </c>
      <c r="C32" s="15" t="inlineStr">
        <is>
          <t>Baseline RR</t>
        </is>
      </c>
      <c r="D32" s="15" t="inlineStr">
        <is>
          <t>Comp 1 MDE</t>
        </is>
      </c>
      <c r="E32" s="15" t="inlineStr">
        <is>
          <t>Comp 2 MDE</t>
        </is>
      </c>
      <c r="F32" s="15" t="inlineStr">
        <is>
          <t>Comp 3 MDE</t>
        </is>
      </c>
      <c r="G32" s="15" t="inlineStr">
        <is>
          <t>Comp 4 MDE</t>
        </is>
      </c>
      <c r="H32" s="15" t="inlineStr">
        <is>
          <t>Worst Case MDE</t>
        </is>
      </c>
      <c r="I32" s="15" t="inlineStr">
        <is>
          <t>Target Lift</t>
        </is>
      </c>
      <c r="J32" s="15" t="inlineStr">
        <is>
          <t>Headroom</t>
        </is>
      </c>
      <c r="K32" s="15" t="inlineStr">
        <is>
          <t>Status</t>
        </is>
      </c>
    </row>
    <row r="33">
      <c r="B33" s="13" t="inlineStr">
        <is>
          <t>Pessimistic</t>
        </is>
      </c>
      <c r="C33" s="11" t="n">
        <v>0.14</v>
      </c>
      <c r="D33" s="17">
        <f>ROUND(($C$13+$C$14)*SQRT(C33*(1-C33)*(1/C19+1/C20)),4)</f>
        <v/>
      </c>
      <c r="E33" s="17">
        <f>ROUND(($C$13+$C$14)*SQRT(C33*(1-C33)*(1/C19+1/C21)),4)</f>
        <v/>
      </c>
      <c r="F33" s="17">
        <f>ROUND(($C$13+$C$14)*SQRT(C33*(1-C33)*(1/C20+1/C21)),4)</f>
        <v/>
      </c>
      <c r="G33" s="17">
        <f>ROUND(($C$13+$C$14)*SQRT(C33*(1-C33)*(1/(MIN(C19:C21))+1/(C3-MIN(C19:C21)))),4)</f>
        <v/>
      </c>
      <c r="H33" s="17">
        <f>MAX(D33:G33)</f>
        <v/>
      </c>
      <c r="I33" s="12">
        <f>$C$10</f>
        <v/>
      </c>
      <c r="J33" s="18">
        <f>I33/H33</f>
        <v/>
      </c>
      <c r="K33" s="13">
        <f>IF(H33&lt;I33,"OK","NOT OK")</f>
        <v/>
      </c>
    </row>
    <row r="34">
      <c r="B34" s="13" t="inlineStr">
        <is>
          <t>Current</t>
        </is>
      </c>
      <c r="C34" s="11" t="n">
        <v>0.15</v>
      </c>
      <c r="D34" s="17">
        <f>ROUND(($C$13+$C$14)*SQRT(C34*(1-C34)*(1/C19+1/C20)),4)</f>
        <v/>
      </c>
      <c r="E34" s="17">
        <f>ROUND(($C$13+$C$14)*SQRT(C34*(1-C34)*(1/C19+1/C21)),4)</f>
        <v/>
      </c>
      <c r="F34" s="17">
        <f>ROUND(($C$13+$C$14)*SQRT(C34*(1-C34)*(1/C20+1/C21)),4)</f>
        <v/>
      </c>
      <c r="G34" s="17">
        <f>ROUND(($C$13+$C$14)*SQRT(C34*(1-C34)*(1/(MIN(C19:C21))+1/(C3-MIN(C19:C21)))),4)</f>
        <v/>
      </c>
      <c r="H34" s="17">
        <f>MAX(D34:G34)</f>
        <v/>
      </c>
      <c r="I34" s="12">
        <f>$C$10</f>
        <v/>
      </c>
      <c r="J34" s="18">
        <f>I34/H34</f>
        <v/>
      </c>
      <c r="K34" s="13">
        <f>IF(H34&lt;I34,"OK","NOT OK")</f>
        <v/>
      </c>
    </row>
    <row r="35">
      <c r="B35" s="13" t="inlineStr">
        <is>
          <t>Optimistic</t>
        </is>
      </c>
      <c r="C35" s="11" t="n">
        <v>0.22</v>
      </c>
      <c r="D35" s="17">
        <f>ROUND(($C$13+$C$14)*SQRT(C35*(1-C35)*(1/C19+1/C20)),4)</f>
        <v/>
      </c>
      <c r="E35" s="17">
        <f>ROUND(($C$13+$C$14)*SQRT(C35*(1-C35)*(1/C19+1/C21)),4)</f>
        <v/>
      </c>
      <c r="F35" s="17">
        <f>ROUND(($C$13+$C$14)*SQRT(C35*(1-C35)*(1/C20+1/C21)),4)</f>
        <v/>
      </c>
      <c r="G35" s="17">
        <f>ROUND(($C$13+$C$14)*SQRT(C35*(1-C35)*(1/(MIN(C19:C21))+1/(C3-MIN(C19:C21)))),4)</f>
        <v/>
      </c>
      <c r="H35" s="17">
        <f>MAX(D35:G35)</f>
        <v/>
      </c>
      <c r="I35" s="12">
        <f>$C$10</f>
        <v/>
      </c>
      <c r="J35" s="18">
        <f>I35/H35</f>
        <v/>
      </c>
      <c r="K35" s="13">
        <f>IF(H35&lt;I35,"OK","NOT OK")</f>
        <v/>
      </c>
    </row>
    <row r="37">
      <c r="A37" s="1" t="n"/>
      <c r="B37" s="2" t="inlineStr">
        <is>
          <t>Notes</t>
        </is>
      </c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B38" t="inlineStr">
        <is>
          <t>1. No control group — champion/challenger placement test.</t>
        </is>
      </c>
    </row>
    <row r="39">
      <c r="B39" t="inlineStr">
        <is>
          <t>2. Everyone gets the PCL offer — variable is WHERE they see it.</t>
        </is>
      </c>
    </row>
    <row r="40">
      <c r="B40" t="inlineStr">
        <is>
          <t>3. Baseline RR = all-channel population-level rate (not mobile share).</t>
        </is>
      </c>
    </row>
    <row r="41">
      <c r="B41" t="inlineStr">
        <is>
          <t>4. PCL mnemonic confirmed by Daniel Chin (was PLI).</t>
        </is>
      </c>
    </row>
    <row r="42">
      <c r="B42" t="inlineStr">
        <is>
          <t>5. Green cells are editable — change them to see recalculations.</t>
        </is>
      </c>
    </row>
    <row r="43">
      <c r="B43" t="inlineStr">
        <is>
          <t>6. MDE formula: (Za + Zb) * SQRT(p0 * (1-p0) * (1/n1 + 1/n2)).</t>
        </is>
      </c>
    </row>
    <row r="44">
      <c r="B44" t="inlineStr">
        <is>
          <t>7. If reporting all 4 comparisons, consider Bonferroni correction (alpha/4 = 1.25%).</t>
        </is>
      </c>
    </row>
  </sheetData>
  <conditionalFormatting sqref="L25:L28">
    <cfRule type="cellIs" priority="1" operator="equal" dxfId="0">
      <formula>"OK"</formula>
    </cfRule>
    <cfRule type="cellIs" priority="2" operator="equal" dxfId="1">
      <formula>"NOT OK"</formula>
    </cfRule>
  </conditionalFormatting>
  <conditionalFormatting sqref="K33:K35">
    <cfRule type="cellIs" priority="3" operator="equal" dxfId="0">
      <formula>"OK"</formula>
    </cfRule>
    <cfRule type="cellIs" priority="4" operator="equal" dxfId="1">
      <formula>"NOT 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2026-03-19T16:25:30Z</dcterms:created>
  <dcterms:modified xmlns:dcterms="http://purl.org/dc/terms/" xmlns:xsi="http://www.w3.org/2001/XMLSchema-instance" xsi:type="dcterms:W3CDTF">2026-03-19T16:25:30Z</dcterms:modified>
</cp:coreProperties>
</file>